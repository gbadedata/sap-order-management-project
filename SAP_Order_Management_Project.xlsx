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Overview" sheetId="1" state="visible" r:id="rId3"/>
    <sheet name="Order Register" sheetId="2" state="visible" r:id="rId4"/>
    <sheet name="Discrepancy Log" sheetId="3" state="visible" r:id="rId5"/>
    <sheet name="KPI Dashboard" sheetId="4" state="visible" r:id="rId6"/>
    <sheet name="Validation Checklist" sheetId="5" state="visible" r:id="rId7"/>
    <sheet name="Pricing Master (VK13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<sst xmlns="http://schemas.openxmlformats.org/spreadsheetml/2006/main" count="2808" uniqueCount="719">
  <si>
    <t xml:space="preserve">SAP ORDER MANAGEMENT &amp; DATA INTEGRITY PROJECT</t>
  </si>
  <si>
    <t xml:space="preserve">Customer Order Processing | Pricing Validation | Discrepancy Resolution | Reporting</t>
  </si>
  <si>
    <t xml:space="preserve">Prepared by: Oluwagbade Joseph Odimayo  |  January – March 2025</t>
  </si>
  <si>
    <t xml:space="preserve">PROJECT SUMMARY METRICS</t>
  </si>
  <si>
    <t xml:space="preserve">Total Orders Processed</t>
  </si>
  <si>
    <t xml:space="preserve">Orders Verified Clean</t>
  </si>
  <si>
    <t xml:space="preserve">Discrepancies Identified</t>
  </si>
  <si>
    <t xml:space="preserve">200</t>
  </si>
  <si>
    <t xml:space="preserve">176</t>
  </si>
  <si>
    <t xml:space="preserve">24</t>
  </si>
  <si>
    <t xml:space="preserve">Discrepancies Resolved</t>
  </si>
  <si>
    <t xml:space="preserve">Initial Error Rate</t>
  </si>
  <si>
    <t xml:space="preserve">Final Error Rate</t>
  </si>
  <si>
    <t xml:space="preserve">12.0%</t>
  </si>
  <si>
    <t xml:space="preserve">2.0%</t>
  </si>
  <si>
    <t xml:space="preserve">PROJECT SCOPE &amp; METHODOLOGY</t>
  </si>
  <si>
    <t xml:space="preserve">System</t>
  </si>
  <si>
    <t xml:space="preserve">SAP SD Module – Order Management (mirroring VA01 / VA02 / VA03 / VK13 workflows)</t>
  </si>
  <si>
    <t xml:space="preserve">Period</t>
  </si>
  <si>
    <t xml:space="preserve">January 2025 – March 2025  (8 Weeks)</t>
  </si>
  <si>
    <t xml:space="preserve">Volume</t>
  </si>
  <si>
    <t xml:space="preserve">200 customer sales orders across 10 B2B customers and 12 product lines</t>
  </si>
  <si>
    <t xml:space="preserve">Validation</t>
  </si>
  <si>
    <t xml:space="preserve">All orders cross-checked against standard pricing master (condition record baseline)</t>
  </si>
  <si>
    <t xml:space="preserve">Resolution</t>
  </si>
  <si>
    <t xml:space="preserve">24 discrepancies identified, root-caused, and resolved with full audit trail</t>
  </si>
  <si>
    <t xml:space="preserve">Reporting</t>
  </si>
  <si>
    <t xml:space="preserve">Weekly KPI dashboard tracking order volume, error rate, and resolution status</t>
  </si>
  <si>
    <t xml:space="preserve">Improvement</t>
  </si>
  <si>
    <t xml:space="preserve">Validation checklist developed — estimated 30% reduction in rework time</t>
  </si>
  <si>
    <t xml:space="preserve">Tools Used</t>
  </si>
  <si>
    <t xml:space="preserve">SAP SD Order Management | Python (pandas) | SQL | Excel | Power Query</t>
  </si>
  <si>
    <t xml:space="preserve">CUSTOMER ORDER REGISTER  |  SAP SD Order Management Project  |  Jan–Mar 2025</t>
  </si>
  <si>
    <t xml:space="preserve">Sales Order No.</t>
  </si>
  <si>
    <t xml:space="preserve">PO Reference</t>
  </si>
  <si>
    <t xml:space="preserve">Order Date</t>
  </si>
  <si>
    <t xml:space="preserve">Delivery Date</t>
  </si>
  <si>
    <t xml:space="preserve">Customer ID</t>
  </si>
  <si>
    <t xml:space="preserve">Customer Name</t>
  </si>
  <si>
    <t xml:space="preserve">Industry</t>
  </si>
  <si>
    <t xml:space="preserve">Material Code</t>
  </si>
  <si>
    <t xml:space="preserve">Product Description</t>
  </si>
  <si>
    <t xml:space="preserve">UoM</t>
  </si>
  <si>
    <t xml:space="preserve">Quantity</t>
  </si>
  <si>
    <t xml:space="preserve">Entered Price (£)</t>
  </si>
  <si>
    <t xml:space="preserve">Standard Price (£)</t>
  </si>
  <si>
    <t xml:space="preserve">Line Value (£)</t>
  </si>
  <si>
    <t xml:space="preserve">Expected Value (£)</t>
  </si>
  <si>
    <t xml:space="preserve">Variance (£)</t>
  </si>
  <si>
    <t xml:space="preserve">Discrepancy Type</t>
  </si>
  <si>
    <t xml:space="preserve">Status</t>
  </si>
  <si>
    <t xml:space="preserve">Resolution Notes</t>
  </si>
  <si>
    <t xml:space="preserve">Week</t>
  </si>
  <si>
    <t xml:space="preserve">SO-4500001</t>
  </si>
  <si>
    <t xml:space="preserve">PO-2025-0001</t>
  </si>
  <si>
    <t xml:space="preserve">08/01/2025</t>
  </si>
  <si>
    <t xml:space="preserve">18/01/2025</t>
  </si>
  <si>
    <t xml:space="preserve">C-1002</t>
  </si>
  <si>
    <t xml:space="preserve">Retail Partners UK</t>
  </si>
  <si>
    <t xml:space="preserve">Retail</t>
  </si>
  <si>
    <t xml:space="preserve">MAT-001</t>
  </si>
  <si>
    <t xml:space="preserve">Industrial Safety Gloves</t>
  </si>
  <si>
    <t xml:space="preserve">pairs</t>
  </si>
  <si>
    <t xml:space="preserve">Verified</t>
  </si>
  <si>
    <t xml:space="preserve">W01</t>
  </si>
  <si>
    <t xml:space="preserve">SO-4500002</t>
  </si>
  <si>
    <t xml:space="preserve">PO-2025-0002</t>
  </si>
  <si>
    <t xml:space="preserve">10/01/2025</t>
  </si>
  <si>
    <t xml:space="preserve">MAT-011</t>
  </si>
  <si>
    <t xml:space="preserve">Packaging Tape (48mm)</t>
  </si>
  <si>
    <t xml:space="preserve">rolls</t>
  </si>
  <si>
    <t xml:space="preserve">SO-4500003</t>
  </si>
  <si>
    <t xml:space="preserve">PO-2025-0003</t>
  </si>
  <si>
    <t xml:space="preserve">07/01/2025</t>
  </si>
  <si>
    <t xml:space="preserve">17/01/2025</t>
  </si>
  <si>
    <t xml:space="preserve">C-1001</t>
  </si>
  <si>
    <t xml:space="preserve">TechNova Solutions Ltd</t>
  </si>
  <si>
    <t xml:space="preserve">Technology</t>
  </si>
  <si>
    <t xml:space="preserve">SO-4500004</t>
  </si>
  <si>
    <t xml:space="preserve">PO-2025-0004</t>
  </si>
  <si>
    <t xml:space="preserve">23/01/2025</t>
  </si>
  <si>
    <t xml:space="preserve">MAT-009</t>
  </si>
  <si>
    <t xml:space="preserve">LED Panel Light 60W</t>
  </si>
  <si>
    <t xml:space="preserve">units</t>
  </si>
  <si>
    <t xml:space="preserve">SO-4500005</t>
  </si>
  <si>
    <t xml:space="preserve">PO-2025-0005</t>
  </si>
  <si>
    <t xml:space="preserve">25/01/2025</t>
  </si>
  <si>
    <t xml:space="preserve">C-1010</t>
  </si>
  <si>
    <t xml:space="preserve">Coastal Energy Group</t>
  </si>
  <si>
    <t xml:space="preserve">Energy</t>
  </si>
  <si>
    <t xml:space="preserve">MAT-005</t>
  </si>
  <si>
    <t xml:space="preserve">Thermal Labels Roll</t>
  </si>
  <si>
    <t xml:space="preserve">SO-4500006</t>
  </si>
  <si>
    <t xml:space="preserve">PO-2025-0006</t>
  </si>
  <si>
    <t xml:space="preserve">16/01/2025</t>
  </si>
  <si>
    <t xml:space="preserve">C-1005</t>
  </si>
  <si>
    <t xml:space="preserve">BuildRight Construction</t>
  </si>
  <si>
    <t xml:space="preserve">Construction</t>
  </si>
  <si>
    <t xml:space="preserve">MAT-003</t>
  </si>
  <si>
    <t xml:space="preserve">Office Desk (Std)</t>
  </si>
  <si>
    <t xml:space="preserve">Missing cost centre reference</t>
  </si>
  <si>
    <t xml:space="preserve">Discrepancy Found</t>
  </si>
  <si>
    <t xml:space="preserve">SO-4500007</t>
  </si>
  <si>
    <t xml:space="preserve">PO-2025-0007</t>
  </si>
  <si>
    <t xml:space="preserve">09/01/2025</t>
  </si>
  <si>
    <t xml:space="preserve">24/01/2025</t>
  </si>
  <si>
    <t xml:space="preserve">SO-4500008</t>
  </si>
  <si>
    <t xml:space="preserve">PO-2025-0008</t>
  </si>
  <si>
    <t xml:space="preserve">28/01/2025</t>
  </si>
  <si>
    <t xml:space="preserve">C-1007</t>
  </si>
  <si>
    <t xml:space="preserve">Axis Financial Services</t>
  </si>
  <si>
    <t xml:space="preserve">Finance</t>
  </si>
  <si>
    <t xml:space="preserve">MAT-002</t>
  </si>
  <si>
    <t xml:space="preserve">Steel Storage Cabinet</t>
  </si>
  <si>
    <t xml:space="preserve">SO-4500009</t>
  </si>
  <si>
    <t xml:space="preserve">PO-2025-0009</t>
  </si>
  <si>
    <t xml:space="preserve">06/01/2025</t>
  </si>
  <si>
    <t xml:space="preserve">13/01/2025</t>
  </si>
  <si>
    <t xml:space="preserve">C-1006</t>
  </si>
  <si>
    <t xml:space="preserve">FreshMart Supermarkets</t>
  </si>
  <si>
    <t xml:space="preserve">FMCG</t>
  </si>
  <si>
    <t xml:space="preserve">MAT-010</t>
  </si>
  <si>
    <t xml:space="preserve">First Aid Kit (Lg)</t>
  </si>
  <si>
    <t xml:space="preserve">kits</t>
  </si>
  <si>
    <t xml:space="preserve">SO-4500010</t>
  </si>
  <si>
    <t xml:space="preserve">PO-2025-0010</t>
  </si>
  <si>
    <t xml:space="preserve">19/01/2025</t>
  </si>
  <si>
    <t xml:space="preserve">SO-4500011</t>
  </si>
  <si>
    <t xml:space="preserve">PO-2025-0011</t>
  </si>
  <si>
    <t xml:space="preserve">SO-4500012</t>
  </si>
  <si>
    <t xml:space="preserve">PO-2025-0012</t>
  </si>
  <si>
    <t xml:space="preserve">22/01/2025</t>
  </si>
  <si>
    <t xml:space="preserve">SO-4500013</t>
  </si>
  <si>
    <t xml:space="preserve">PO-2025-0013</t>
  </si>
  <si>
    <t xml:space="preserve">29/01/2025</t>
  </si>
  <si>
    <t xml:space="preserve">C-1003</t>
  </si>
  <si>
    <t xml:space="preserve">Global Supplies Co</t>
  </si>
  <si>
    <t xml:space="preserve">Distribution</t>
  </si>
  <si>
    <t xml:space="preserve">MAT-008</t>
  </si>
  <si>
    <t xml:space="preserve">Hydraulic Hand Truck</t>
  </si>
  <si>
    <t xml:space="preserve">SO-4500014</t>
  </si>
  <si>
    <t xml:space="preserve">PO-2025-0014</t>
  </si>
  <si>
    <t xml:space="preserve">C-1009</t>
  </si>
  <si>
    <t xml:space="preserve">Premier Education Trust</t>
  </si>
  <si>
    <t xml:space="preserve">Education</t>
  </si>
  <si>
    <t xml:space="preserve">MAT-004</t>
  </si>
  <si>
    <t xml:space="preserve">Network Switch 24-Port</t>
  </si>
  <si>
    <t xml:space="preserve">SO-4500015</t>
  </si>
  <si>
    <t xml:space="preserve">PO-2025-0015</t>
  </si>
  <si>
    <t xml:space="preserve">21/01/2025</t>
  </si>
  <si>
    <t xml:space="preserve">SO-4500016</t>
  </si>
  <si>
    <t xml:space="preserve">PO-2025-0016</t>
  </si>
  <si>
    <t xml:space="preserve">C-1004</t>
  </si>
  <si>
    <t xml:space="preserve">Meridian Healthcare</t>
  </si>
  <si>
    <t xml:space="preserve">Healthcare</t>
  </si>
  <si>
    <t xml:space="preserve">SO-4500017</t>
  </si>
  <si>
    <t xml:space="preserve">PO-2025-0017</t>
  </si>
  <si>
    <t xml:space="preserve">SO-4500018</t>
  </si>
  <si>
    <t xml:space="preserve">PO-2025-0018</t>
  </si>
  <si>
    <t xml:space="preserve">SO-4500019</t>
  </si>
  <si>
    <t xml:space="preserve">PO-2025-0019</t>
  </si>
  <si>
    <t xml:space="preserve">MAT-006</t>
  </si>
  <si>
    <t xml:space="preserve">Laptop Stand Adjustable</t>
  </si>
  <si>
    <t xml:space="preserve">SO-4500020</t>
  </si>
  <si>
    <t xml:space="preserve">PO-2025-0020</t>
  </si>
  <si>
    <t xml:space="preserve">26/01/2025</t>
  </si>
  <si>
    <t xml:space="preserve">SO-4500021</t>
  </si>
  <si>
    <t xml:space="preserve">PO-2025-0021</t>
  </si>
  <si>
    <t xml:space="preserve">SO-4500022</t>
  </si>
  <si>
    <t xml:space="preserve">PO-2025-0022</t>
  </si>
  <si>
    <t xml:space="preserve">SO-4500023</t>
  </si>
  <si>
    <t xml:space="preserve">PO-2025-0023</t>
  </si>
  <si>
    <t xml:space="preserve">SO-4500024</t>
  </si>
  <si>
    <t xml:space="preserve">PO-2025-0024</t>
  </si>
  <si>
    <t xml:space="preserve">SO-4500025</t>
  </si>
  <si>
    <t xml:space="preserve">PO-2025-0025</t>
  </si>
  <si>
    <t xml:space="preserve">SO-4500026</t>
  </si>
  <si>
    <t xml:space="preserve">PO-2025-0026</t>
  </si>
  <si>
    <t xml:space="preserve">15/01/2025</t>
  </si>
  <si>
    <t xml:space="preserve">03/02/2025</t>
  </si>
  <si>
    <t xml:space="preserve">W02</t>
  </si>
  <si>
    <t xml:space="preserve">SO-4500027</t>
  </si>
  <si>
    <t xml:space="preserve">PO-2025-0027</t>
  </si>
  <si>
    <t xml:space="preserve">Incorrect customer master code applied</t>
  </si>
  <si>
    <t xml:space="preserve">SO-4500028</t>
  </si>
  <si>
    <t xml:space="preserve">PO-2025-0028</t>
  </si>
  <si>
    <t xml:space="preserve">SO-4500029</t>
  </si>
  <si>
    <t xml:space="preserve">PO-2025-0029</t>
  </si>
  <si>
    <t xml:space="preserve">14/01/2025</t>
  </si>
  <si>
    <t xml:space="preserve">31/01/2025</t>
  </si>
  <si>
    <t xml:space="preserve">SO-4500030</t>
  </si>
  <si>
    <t xml:space="preserve">PO-2025-0030</t>
  </si>
  <si>
    <t xml:space="preserve">06/02/2025</t>
  </si>
  <si>
    <t xml:space="preserve">SO-4500031</t>
  </si>
  <si>
    <t xml:space="preserve">PO-2025-0031</t>
  </si>
  <si>
    <t xml:space="preserve">01/02/2025</t>
  </si>
  <si>
    <t xml:space="preserve">SO-4500032</t>
  </si>
  <si>
    <t xml:space="preserve">PO-2025-0032</t>
  </si>
  <si>
    <t xml:space="preserve">SO-4500033</t>
  </si>
  <si>
    <t xml:space="preserve">PO-2025-0033</t>
  </si>
  <si>
    <t xml:space="preserve">SO-4500034</t>
  </si>
  <si>
    <t xml:space="preserve">PO-2025-0034</t>
  </si>
  <si>
    <t xml:space="preserve">Unit price below standard condition (VK13 mismatch)</t>
  </si>
  <si>
    <t xml:space="preserve">SO-4500035</t>
  </si>
  <si>
    <t xml:space="preserve">PO-2025-0035</t>
  </si>
  <si>
    <t xml:space="preserve">SO-4500036</t>
  </si>
  <si>
    <t xml:space="preserve">PO-2025-0036</t>
  </si>
  <si>
    <t xml:space="preserve">02/02/2025</t>
  </si>
  <si>
    <t xml:space="preserve">SO-4500037</t>
  </si>
  <si>
    <t xml:space="preserve">PO-2025-0037</t>
  </si>
  <si>
    <t xml:space="preserve">30/01/2025</t>
  </si>
  <si>
    <t xml:space="preserve">SO-4500038</t>
  </si>
  <si>
    <t xml:space="preserve">PO-2025-0038</t>
  </si>
  <si>
    <t xml:space="preserve">MAT-007</t>
  </si>
  <si>
    <t xml:space="preserve">Warehouse Pallet Rack</t>
  </si>
  <si>
    <t xml:space="preserve">SO-4500039</t>
  </si>
  <si>
    <t xml:space="preserve">PO-2025-0039</t>
  </si>
  <si>
    <t xml:space="preserve">SO-4500040</t>
  </si>
  <si>
    <t xml:space="preserve">PO-2025-0040</t>
  </si>
  <si>
    <t xml:space="preserve">SO-4500041</t>
  </si>
  <si>
    <t xml:space="preserve">PO-2025-0041</t>
  </si>
  <si>
    <t xml:space="preserve">SO-4500042</t>
  </si>
  <si>
    <t xml:space="preserve">PO-2025-0042</t>
  </si>
  <si>
    <t xml:space="preserve">C-1008</t>
  </si>
  <si>
    <t xml:space="preserve">Greenfield Logistics</t>
  </si>
  <si>
    <t xml:space="preserve">Logistics</t>
  </si>
  <si>
    <t xml:space="preserve">SO-4500043</t>
  </si>
  <si>
    <t xml:space="preserve">PO-2025-0043</t>
  </si>
  <si>
    <t xml:space="preserve">SO-4500044</t>
  </si>
  <si>
    <t xml:space="preserve">PO-2025-0044</t>
  </si>
  <si>
    <t xml:space="preserve">SO-4500045</t>
  </si>
  <si>
    <t xml:space="preserve">PO-2025-0045</t>
  </si>
  <si>
    <t xml:space="preserve">SO-4500046</t>
  </si>
  <si>
    <t xml:space="preserve">PO-2025-0046</t>
  </si>
  <si>
    <t xml:space="preserve">SO-4500047</t>
  </si>
  <si>
    <t xml:space="preserve">PO-2025-0047</t>
  </si>
  <si>
    <t xml:space="preserve">SO-4500048</t>
  </si>
  <si>
    <t xml:space="preserve">PO-2025-0048</t>
  </si>
  <si>
    <t xml:space="preserve">SO-4500049</t>
  </si>
  <si>
    <t xml:space="preserve">PO-2025-0049</t>
  </si>
  <si>
    <t xml:space="preserve">SO-4500050</t>
  </si>
  <si>
    <t xml:space="preserve">PO-2025-0050</t>
  </si>
  <si>
    <t xml:space="preserve">27/01/2025</t>
  </si>
  <si>
    <t xml:space="preserve">SO-4500051</t>
  </si>
  <si>
    <t xml:space="preserve">PO-2025-0051</t>
  </si>
  <si>
    <t xml:space="preserve">20/01/2025</t>
  </si>
  <si>
    <t xml:space="preserve">W03</t>
  </si>
  <si>
    <t xml:space="preserve">SO-4500052</t>
  </si>
  <si>
    <t xml:space="preserve">PO-2025-0052</t>
  </si>
  <si>
    <t xml:space="preserve">SO-4500053</t>
  </si>
  <si>
    <t xml:space="preserve">PO-2025-0053</t>
  </si>
  <si>
    <t xml:space="preserve">SO-4500054</t>
  </si>
  <si>
    <t xml:space="preserve">PO-2025-0054</t>
  </si>
  <si>
    <t xml:space="preserve">SO-4500055</t>
  </si>
  <si>
    <t xml:space="preserve">PO-2025-0055</t>
  </si>
  <si>
    <t xml:space="preserve">SO-4500056</t>
  </si>
  <si>
    <t xml:space="preserve">PO-2025-0056</t>
  </si>
  <si>
    <t xml:space="preserve">SO-4500057</t>
  </si>
  <si>
    <t xml:space="preserve">PO-2025-0057</t>
  </si>
  <si>
    <t xml:space="preserve">07/02/2025</t>
  </si>
  <si>
    <t xml:space="preserve">SO-4500058</t>
  </si>
  <si>
    <t xml:space="preserve">PO-2025-0058</t>
  </si>
  <si>
    <t xml:space="preserve">04/02/2025</t>
  </si>
  <si>
    <t xml:space="preserve">SO-4500059</t>
  </si>
  <si>
    <t xml:space="preserve">PO-2025-0059</t>
  </si>
  <si>
    <t xml:space="preserve">10/02/2025</t>
  </si>
  <si>
    <t xml:space="preserve">Wrong unit of measure entered</t>
  </si>
  <si>
    <t xml:space="preserve">SO-4500060</t>
  </si>
  <si>
    <t xml:space="preserve">PO-2025-0060</t>
  </si>
  <si>
    <t xml:space="preserve">SO-4500061</t>
  </si>
  <si>
    <t xml:space="preserve">PO-2025-0061</t>
  </si>
  <si>
    <t xml:space="preserve">12/02/2025</t>
  </si>
  <si>
    <t xml:space="preserve">SO-4500062</t>
  </si>
  <si>
    <t xml:space="preserve">PO-2025-0062</t>
  </si>
  <si>
    <t xml:space="preserve">SO-4500063</t>
  </si>
  <si>
    <t xml:space="preserve">PO-2025-0063</t>
  </si>
  <si>
    <t xml:space="preserve">SO-4500064</t>
  </si>
  <si>
    <t xml:space="preserve">PO-2025-0064</t>
  </si>
  <si>
    <t xml:space="preserve">MAT-012</t>
  </si>
  <si>
    <t xml:space="preserve">Fire Extinguisher 6kg</t>
  </si>
  <si>
    <t xml:space="preserve">SO-4500065</t>
  </si>
  <si>
    <t xml:space="preserve">PO-2025-0065</t>
  </si>
  <si>
    <t xml:space="preserve">SO-4500066</t>
  </si>
  <si>
    <t xml:space="preserve">PO-2025-0066</t>
  </si>
  <si>
    <t xml:space="preserve">SO-4500067</t>
  </si>
  <si>
    <t xml:space="preserve">PO-2025-0067</t>
  </si>
  <si>
    <t xml:space="preserve">SO-4500068</t>
  </si>
  <si>
    <t xml:space="preserve">PO-2025-0068</t>
  </si>
  <si>
    <t xml:space="preserve">11/02/2025</t>
  </si>
  <si>
    <t xml:space="preserve">SO-4500069</t>
  </si>
  <si>
    <t xml:space="preserve">PO-2025-0069</t>
  </si>
  <si>
    <t xml:space="preserve">SO-4500070</t>
  </si>
  <si>
    <t xml:space="preserve">PO-2025-0070</t>
  </si>
  <si>
    <t xml:space="preserve">SO-4500071</t>
  </si>
  <si>
    <t xml:space="preserve">PO-2025-0071</t>
  </si>
  <si>
    <t xml:space="preserve">SO-4500072</t>
  </si>
  <si>
    <t xml:space="preserve">PO-2025-0072</t>
  </si>
  <si>
    <t xml:space="preserve">SO-4500073</t>
  </si>
  <si>
    <t xml:space="preserve">PO-2025-0073</t>
  </si>
  <si>
    <t xml:space="preserve">SO-4500074</t>
  </si>
  <si>
    <t xml:space="preserve">PO-2025-0074</t>
  </si>
  <si>
    <t xml:space="preserve">SO-4500075</t>
  </si>
  <si>
    <t xml:space="preserve">PO-2025-0075</t>
  </si>
  <si>
    <t xml:space="preserve">SO-4500076</t>
  </si>
  <si>
    <t xml:space="preserve">PO-2025-0076</t>
  </si>
  <si>
    <t xml:space="preserve">15/02/2025</t>
  </si>
  <si>
    <t xml:space="preserve">W04</t>
  </si>
  <si>
    <t xml:space="preserve">SO-4500077</t>
  </si>
  <si>
    <t xml:space="preserve">PO-2025-0077</t>
  </si>
  <si>
    <t xml:space="preserve">08/02/2025</t>
  </si>
  <si>
    <t xml:space="preserve">SO-4500078</t>
  </si>
  <si>
    <t xml:space="preserve">PO-2025-0078</t>
  </si>
  <si>
    <t xml:space="preserve">14/02/2025</t>
  </si>
  <si>
    <t xml:space="preserve">SO-4500079</t>
  </si>
  <si>
    <t xml:space="preserve">PO-2025-0079</t>
  </si>
  <si>
    <t xml:space="preserve">SO-4500080</t>
  </si>
  <si>
    <t xml:space="preserve">PO-2025-0080</t>
  </si>
  <si>
    <t xml:space="preserve">13/02/2025</t>
  </si>
  <si>
    <t xml:space="preserve">SO-4500081</t>
  </si>
  <si>
    <t xml:space="preserve">PO-2025-0081</t>
  </si>
  <si>
    <t xml:space="preserve">SO-4500082</t>
  </si>
  <si>
    <t xml:space="preserve">PO-2025-0082</t>
  </si>
  <si>
    <t xml:space="preserve">09/02/2025</t>
  </si>
  <si>
    <t xml:space="preserve">SO-4500083</t>
  </si>
  <si>
    <t xml:space="preserve">PO-2025-0083</t>
  </si>
  <si>
    <t xml:space="preserve">SO-4500084</t>
  </si>
  <si>
    <t xml:space="preserve">PO-2025-0084</t>
  </si>
  <si>
    <t xml:space="preserve">SO-4500085</t>
  </si>
  <si>
    <t xml:space="preserve">PO-2025-0085</t>
  </si>
  <si>
    <t xml:space="preserve">16/02/2025</t>
  </si>
  <si>
    <t xml:space="preserve">SO-4500086</t>
  </si>
  <si>
    <t xml:space="preserve">PO-2025-0086</t>
  </si>
  <si>
    <t xml:space="preserve">SO-4500087</t>
  </si>
  <si>
    <t xml:space="preserve">PO-2025-0087</t>
  </si>
  <si>
    <t xml:space="preserve">SO-4500088</t>
  </si>
  <si>
    <t xml:space="preserve">PO-2025-0088</t>
  </si>
  <si>
    <t xml:space="preserve">SO-4500089</t>
  </si>
  <si>
    <t xml:space="preserve">PO-2025-0089</t>
  </si>
  <si>
    <t xml:space="preserve">SO-4500090</t>
  </si>
  <si>
    <t xml:space="preserve">PO-2025-0090</t>
  </si>
  <si>
    <t xml:space="preserve">SO-4500091</t>
  </si>
  <si>
    <t xml:space="preserve">PO-2025-0091</t>
  </si>
  <si>
    <t xml:space="preserve">SO-4500092</t>
  </si>
  <si>
    <t xml:space="preserve">PO-2025-0092</t>
  </si>
  <si>
    <t xml:space="preserve">SO-4500093</t>
  </si>
  <si>
    <t xml:space="preserve">PO-2025-0093</t>
  </si>
  <si>
    <t xml:space="preserve">20/02/2025</t>
  </si>
  <si>
    <t xml:space="preserve">SO-4500094</t>
  </si>
  <si>
    <t xml:space="preserve">PO-2025-0094</t>
  </si>
  <si>
    <t xml:space="preserve">17/02/2025</t>
  </si>
  <si>
    <t xml:space="preserve">SO-4500095</t>
  </si>
  <si>
    <t xml:space="preserve">PO-2025-0095</t>
  </si>
  <si>
    <t xml:space="preserve">SO-4500096</t>
  </si>
  <si>
    <t xml:space="preserve">PO-2025-0096</t>
  </si>
  <si>
    <t xml:space="preserve">SO-4500097</t>
  </si>
  <si>
    <t xml:space="preserve">PO-2025-0097</t>
  </si>
  <si>
    <t xml:space="preserve">SO-4500098</t>
  </si>
  <si>
    <t xml:space="preserve">PO-2025-0098</t>
  </si>
  <si>
    <t xml:space="preserve">SO-4500099</t>
  </si>
  <si>
    <t xml:space="preserve">PO-2025-0099</t>
  </si>
  <si>
    <t xml:space="preserve">SO-4500100</t>
  </si>
  <si>
    <t xml:space="preserve">PO-2025-0100</t>
  </si>
  <si>
    <t xml:space="preserve">SO-4500101</t>
  </si>
  <si>
    <t xml:space="preserve">PO-2025-0101</t>
  </si>
  <si>
    <t xml:space="preserve">26/02/2025</t>
  </si>
  <si>
    <t xml:space="preserve">W05</t>
  </si>
  <si>
    <t xml:space="preserve">SO-4500102</t>
  </si>
  <si>
    <t xml:space="preserve">PO-2025-0102</t>
  </si>
  <si>
    <t xml:space="preserve">SO-4500103</t>
  </si>
  <si>
    <t xml:space="preserve">PO-2025-0103</t>
  </si>
  <si>
    <t xml:space="preserve">05/02/2025</t>
  </si>
  <si>
    <t xml:space="preserve">18/02/2025</t>
  </si>
  <si>
    <t xml:space="preserve">SO-4500104</t>
  </si>
  <si>
    <t xml:space="preserve">PO-2025-0104</t>
  </si>
  <si>
    <t xml:space="preserve">24/02/2025</t>
  </si>
  <si>
    <t xml:space="preserve">SO-4500105</t>
  </si>
  <si>
    <t xml:space="preserve">PO-2025-0105</t>
  </si>
  <si>
    <t xml:space="preserve">SO-4500106</t>
  </si>
  <si>
    <t xml:space="preserve">PO-2025-0106</t>
  </si>
  <si>
    <t xml:space="preserve">SO-4500107</t>
  </si>
  <si>
    <t xml:space="preserve">PO-2025-0107</t>
  </si>
  <si>
    <t xml:space="preserve">SO-4500108</t>
  </si>
  <si>
    <t xml:space="preserve">PO-2025-0108</t>
  </si>
  <si>
    <t xml:space="preserve">SO-4500109</t>
  </si>
  <si>
    <t xml:space="preserve">PO-2025-0109</t>
  </si>
  <si>
    <t xml:space="preserve">SO-4500110</t>
  </si>
  <si>
    <t xml:space="preserve">PO-2025-0110</t>
  </si>
  <si>
    <t xml:space="preserve">SO-4500111</t>
  </si>
  <si>
    <t xml:space="preserve">PO-2025-0111</t>
  </si>
  <si>
    <t xml:space="preserve">SO-4500112</t>
  </si>
  <si>
    <t xml:space="preserve">PO-2025-0112</t>
  </si>
  <si>
    <t xml:space="preserve">SO-4500113</t>
  </si>
  <si>
    <t xml:space="preserve">PO-2025-0113</t>
  </si>
  <si>
    <t xml:space="preserve">25/02/2025</t>
  </si>
  <si>
    <t xml:space="preserve">SO-4500114</t>
  </si>
  <si>
    <t xml:space="preserve">PO-2025-0114</t>
  </si>
  <si>
    <t xml:space="preserve">SO-4500115</t>
  </si>
  <si>
    <t xml:space="preserve">PO-2025-0115</t>
  </si>
  <si>
    <t xml:space="preserve">SO-4500116</t>
  </si>
  <si>
    <t xml:space="preserve">PO-2025-0116</t>
  </si>
  <si>
    <t xml:space="preserve">SO-4500117</t>
  </si>
  <si>
    <t xml:space="preserve">PO-2025-0117</t>
  </si>
  <si>
    <t xml:space="preserve">22/02/2025</t>
  </si>
  <si>
    <t xml:space="preserve">SO-4500118</t>
  </si>
  <si>
    <t xml:space="preserve">PO-2025-0118</t>
  </si>
  <si>
    <t xml:space="preserve">23/02/2025</t>
  </si>
  <si>
    <t xml:space="preserve">SO-4500119</t>
  </si>
  <si>
    <t xml:space="preserve">PO-2025-0119</t>
  </si>
  <si>
    <t xml:space="preserve">SO-4500120</t>
  </si>
  <si>
    <t xml:space="preserve">PO-2025-0120</t>
  </si>
  <si>
    <t xml:space="preserve">SO-4500121</t>
  </si>
  <si>
    <t xml:space="preserve">PO-2025-0121</t>
  </si>
  <si>
    <t xml:space="preserve">SO-4500122</t>
  </si>
  <si>
    <t xml:space="preserve">PO-2025-0122</t>
  </si>
  <si>
    <t xml:space="preserve">SO-4500123</t>
  </si>
  <si>
    <t xml:space="preserve">PO-2025-0123</t>
  </si>
  <si>
    <t xml:space="preserve">SO-4500124</t>
  </si>
  <si>
    <t xml:space="preserve">PO-2025-0124</t>
  </si>
  <si>
    <t xml:space="preserve">SO-4500125</t>
  </si>
  <si>
    <t xml:space="preserve">PO-2025-0125</t>
  </si>
  <si>
    <t xml:space="preserve">SO-4500126</t>
  </si>
  <si>
    <t xml:space="preserve">PO-2025-0126</t>
  </si>
  <si>
    <t xml:space="preserve">W06</t>
  </si>
  <si>
    <t xml:space="preserve">SO-4500127</t>
  </si>
  <si>
    <t xml:space="preserve">PO-2025-0127</t>
  </si>
  <si>
    <t xml:space="preserve">21/02/2025</t>
  </si>
  <si>
    <t xml:space="preserve">SO-4500128</t>
  </si>
  <si>
    <t xml:space="preserve">PO-2025-0128</t>
  </si>
  <si>
    <t xml:space="preserve">27/02/2025</t>
  </si>
  <si>
    <t xml:space="preserve">SO-4500129</t>
  </si>
  <si>
    <t xml:space="preserve">PO-2025-0129</t>
  </si>
  <si>
    <t xml:space="preserve">SO-4500130</t>
  </si>
  <si>
    <t xml:space="preserve">PO-2025-0130</t>
  </si>
  <si>
    <t xml:space="preserve">03/03/2025</t>
  </si>
  <si>
    <t xml:space="preserve">SO-4500131</t>
  </si>
  <si>
    <t xml:space="preserve">PO-2025-0131</t>
  </si>
  <si>
    <t xml:space="preserve">01/03/2025</t>
  </si>
  <si>
    <t xml:space="preserve">SO-4500132</t>
  </si>
  <si>
    <t xml:space="preserve">PO-2025-0132</t>
  </si>
  <si>
    <t xml:space="preserve">SO-4500133</t>
  </si>
  <si>
    <t xml:space="preserve">PO-2025-0133</t>
  </si>
  <si>
    <t xml:space="preserve">SO-4500134</t>
  </si>
  <si>
    <t xml:space="preserve">PO-2025-0134</t>
  </si>
  <si>
    <t xml:space="preserve">SO-4500135</t>
  </si>
  <si>
    <t xml:space="preserve">PO-2025-0135</t>
  </si>
  <si>
    <t xml:space="preserve">02/03/2025</t>
  </si>
  <si>
    <t xml:space="preserve">SO-4500136</t>
  </si>
  <si>
    <t xml:space="preserve">PO-2025-0136</t>
  </si>
  <si>
    <t xml:space="preserve">SO-4500137</t>
  </si>
  <si>
    <t xml:space="preserve">PO-2025-0137</t>
  </si>
  <si>
    <t xml:space="preserve">SO-4500138</t>
  </si>
  <si>
    <t xml:space="preserve">PO-2025-0138</t>
  </si>
  <si>
    <t xml:space="preserve">28/02/2025</t>
  </si>
  <si>
    <t xml:space="preserve">SO-4500139</t>
  </si>
  <si>
    <t xml:space="preserve">PO-2025-0139</t>
  </si>
  <si>
    <t xml:space="preserve">SO-4500140</t>
  </si>
  <si>
    <t xml:space="preserve">PO-2025-0140</t>
  </si>
  <si>
    <t xml:space="preserve">SO-4500141</t>
  </si>
  <si>
    <t xml:space="preserve">PO-2025-0141</t>
  </si>
  <si>
    <t xml:space="preserve">SO-4500142</t>
  </si>
  <si>
    <t xml:space="preserve">PO-2025-0142</t>
  </si>
  <si>
    <t xml:space="preserve">SO-4500143</t>
  </si>
  <si>
    <t xml:space="preserve">PO-2025-0143</t>
  </si>
  <si>
    <t xml:space="preserve">SO-4500144</t>
  </si>
  <si>
    <t xml:space="preserve">PO-2025-0144</t>
  </si>
  <si>
    <t xml:space="preserve">SO-4500145</t>
  </si>
  <si>
    <t xml:space="preserve">PO-2025-0145</t>
  </si>
  <si>
    <t xml:space="preserve">SO-4500146</t>
  </si>
  <si>
    <t xml:space="preserve">PO-2025-0146</t>
  </si>
  <si>
    <t xml:space="preserve">SO-4500147</t>
  </si>
  <si>
    <t xml:space="preserve">PO-2025-0147</t>
  </si>
  <si>
    <t xml:space="preserve">SO-4500148</t>
  </si>
  <si>
    <t xml:space="preserve">PO-2025-0148</t>
  </si>
  <si>
    <t xml:space="preserve">SO-4500149</t>
  </si>
  <si>
    <t xml:space="preserve">PO-2025-0149</t>
  </si>
  <si>
    <t xml:space="preserve">SO-4500150</t>
  </si>
  <si>
    <t xml:space="preserve">PO-2025-0150</t>
  </si>
  <si>
    <t xml:space="preserve">SO-4500151</t>
  </si>
  <si>
    <t xml:space="preserve">PO-2025-0151</t>
  </si>
  <si>
    <t xml:space="preserve">W07</t>
  </si>
  <si>
    <t xml:space="preserve">SO-4500152</t>
  </si>
  <si>
    <t xml:space="preserve">PO-2025-0152</t>
  </si>
  <si>
    <t xml:space="preserve">SO-4500153</t>
  </si>
  <si>
    <t xml:space="preserve">PO-2025-0153</t>
  </si>
  <si>
    <t xml:space="preserve">14/03/2025</t>
  </si>
  <si>
    <t xml:space="preserve">SO-4500154</t>
  </si>
  <si>
    <t xml:space="preserve">PO-2025-0154</t>
  </si>
  <si>
    <t xml:space="preserve">19/02/2025</t>
  </si>
  <si>
    <t xml:space="preserve">09/03/2025</t>
  </si>
  <si>
    <t xml:space="preserve">SO-4500155</t>
  </si>
  <si>
    <t xml:space="preserve">PO-2025-0155</t>
  </si>
  <si>
    <t xml:space="preserve">06/03/2025</t>
  </si>
  <si>
    <t xml:space="preserve">SO-4500156</t>
  </si>
  <si>
    <t xml:space="preserve">PO-2025-0156</t>
  </si>
  <si>
    <t xml:space="preserve">07/03/2025</t>
  </si>
  <si>
    <t xml:space="preserve">SO-4500157</t>
  </si>
  <si>
    <t xml:space="preserve">PO-2025-0157</t>
  </si>
  <si>
    <t xml:space="preserve">SO-4500158</t>
  </si>
  <si>
    <t xml:space="preserve">PO-2025-0158</t>
  </si>
  <si>
    <t xml:space="preserve">04/03/2025</t>
  </si>
  <si>
    <t xml:space="preserve">SO-4500159</t>
  </si>
  <si>
    <t xml:space="preserve">PO-2025-0159</t>
  </si>
  <si>
    <t xml:space="preserve">SO-4500160</t>
  </si>
  <si>
    <t xml:space="preserve">PO-2025-0160</t>
  </si>
  <si>
    <t xml:space="preserve">SO-4500161</t>
  </si>
  <si>
    <t xml:space="preserve">PO-2025-0161</t>
  </si>
  <si>
    <t xml:space="preserve">10/03/2025</t>
  </si>
  <si>
    <t xml:space="preserve">SO-4500162</t>
  </si>
  <si>
    <t xml:space="preserve">PO-2025-0162</t>
  </si>
  <si>
    <t xml:space="preserve">SO-4500163</t>
  </si>
  <si>
    <t xml:space="preserve">PO-2025-0163</t>
  </si>
  <si>
    <t xml:space="preserve">13/03/2025</t>
  </si>
  <si>
    <t xml:space="preserve">SO-4500164</t>
  </si>
  <si>
    <t xml:space="preserve">PO-2025-0164</t>
  </si>
  <si>
    <t xml:space="preserve">SO-4500165</t>
  </si>
  <si>
    <t xml:space="preserve">PO-2025-0165</t>
  </si>
  <si>
    <t xml:space="preserve">11/03/2025</t>
  </si>
  <si>
    <t xml:space="preserve">SO-4500166</t>
  </si>
  <si>
    <t xml:space="preserve">PO-2025-0166</t>
  </si>
  <si>
    <t xml:space="preserve">05/03/2025</t>
  </si>
  <si>
    <t xml:space="preserve">SO-4500167</t>
  </si>
  <si>
    <t xml:space="preserve">PO-2025-0167</t>
  </si>
  <si>
    <t xml:space="preserve">12/03/2025</t>
  </si>
  <si>
    <t xml:space="preserve">SO-4500168</t>
  </si>
  <si>
    <t xml:space="preserve">PO-2025-0168</t>
  </si>
  <si>
    <t xml:space="preserve">SO-4500169</t>
  </si>
  <si>
    <t xml:space="preserve">PO-2025-0169</t>
  </si>
  <si>
    <t xml:space="preserve">SO-4500170</t>
  </si>
  <si>
    <t xml:space="preserve">PO-2025-0170</t>
  </si>
  <si>
    <t xml:space="preserve">SO-4500171</t>
  </si>
  <si>
    <t xml:space="preserve">PO-2025-0171</t>
  </si>
  <si>
    <t xml:space="preserve">SO-4500172</t>
  </si>
  <si>
    <t xml:space="preserve">PO-2025-0172</t>
  </si>
  <si>
    <t xml:space="preserve">SO-4500173</t>
  </si>
  <si>
    <t xml:space="preserve">PO-2025-0173</t>
  </si>
  <si>
    <t xml:space="preserve">Resolved</t>
  </si>
  <si>
    <t xml:space="preserve">Corrected to £45.00 – Incorrect customer master code applied</t>
  </si>
  <si>
    <t xml:space="preserve">SO-4500174</t>
  </si>
  <si>
    <t xml:space="preserve">PO-2025-0174</t>
  </si>
  <si>
    <t xml:space="preserve">SO-4500175</t>
  </si>
  <si>
    <t xml:space="preserve">PO-2025-0175</t>
  </si>
  <si>
    <t xml:space="preserve">SO-4500176</t>
  </si>
  <si>
    <t xml:space="preserve">PO-2025-0176</t>
  </si>
  <si>
    <t xml:space="preserve">17/03/2025</t>
  </si>
  <si>
    <t xml:space="preserve">W08</t>
  </si>
  <si>
    <t xml:space="preserve">SO-4500177</t>
  </si>
  <si>
    <t xml:space="preserve">PO-2025-0177</t>
  </si>
  <si>
    <t xml:space="preserve">SO-4500178</t>
  </si>
  <si>
    <t xml:space="preserve">PO-2025-0178</t>
  </si>
  <si>
    <t xml:space="preserve">SO-4500179</t>
  </si>
  <si>
    <t xml:space="preserve">PO-2025-0179</t>
  </si>
  <si>
    <t xml:space="preserve">18/03/2025</t>
  </si>
  <si>
    <t xml:space="preserve">SO-4500180</t>
  </si>
  <si>
    <t xml:space="preserve">PO-2025-0180</t>
  </si>
  <si>
    <t xml:space="preserve">SO-4500181</t>
  </si>
  <si>
    <t xml:space="preserve">PO-2025-0181</t>
  </si>
  <si>
    <t xml:space="preserve">SO-4500182</t>
  </si>
  <si>
    <t xml:space="preserve">PO-2025-0182</t>
  </si>
  <si>
    <t xml:space="preserve">16/03/2025</t>
  </si>
  <si>
    <t xml:space="preserve">SO-4500183</t>
  </si>
  <si>
    <t xml:space="preserve">PO-2025-0183</t>
  </si>
  <si>
    <t xml:space="preserve">SO-4500184</t>
  </si>
  <si>
    <t xml:space="preserve">PO-2025-0184</t>
  </si>
  <si>
    <t xml:space="preserve">08/03/2025</t>
  </si>
  <si>
    <t xml:space="preserve">SO-4500185</t>
  </si>
  <si>
    <t xml:space="preserve">PO-2025-0185</t>
  </si>
  <si>
    <t xml:space="preserve">SO-4500186</t>
  </si>
  <si>
    <t xml:space="preserve">PO-2025-0186</t>
  </si>
  <si>
    <t xml:space="preserve">19/03/2025</t>
  </si>
  <si>
    <t xml:space="preserve">SO-4500187</t>
  </si>
  <si>
    <t xml:space="preserve">PO-2025-0187</t>
  </si>
  <si>
    <t xml:space="preserve">SO-4500188</t>
  </si>
  <si>
    <t xml:space="preserve">PO-2025-0188</t>
  </si>
  <si>
    <t xml:space="preserve">SO-4500189</t>
  </si>
  <si>
    <t xml:space="preserve">PO-2025-0189</t>
  </si>
  <si>
    <t xml:space="preserve">20/03/2025</t>
  </si>
  <si>
    <t xml:space="preserve">SO-4500190</t>
  </si>
  <si>
    <t xml:space="preserve">PO-2025-0190</t>
  </si>
  <si>
    <t xml:space="preserve">SO-4500191</t>
  </si>
  <si>
    <t xml:space="preserve">PO-2025-0191</t>
  </si>
  <si>
    <t xml:space="preserve">SO-4500192</t>
  </si>
  <si>
    <t xml:space="preserve">PO-2025-0192</t>
  </si>
  <si>
    <t xml:space="preserve">SO-4500193</t>
  </si>
  <si>
    <t xml:space="preserve">PO-2025-0193</t>
  </si>
  <si>
    <t xml:space="preserve">SO-4500194</t>
  </si>
  <si>
    <t xml:space="preserve">PO-2025-0194</t>
  </si>
  <si>
    <t xml:space="preserve">SO-4500195</t>
  </si>
  <si>
    <t xml:space="preserve">PO-2025-0195</t>
  </si>
  <si>
    <t xml:space="preserve">SO-4500196</t>
  </si>
  <si>
    <t xml:space="preserve">PO-2025-0196</t>
  </si>
  <si>
    <t xml:space="preserve">SO-4500197</t>
  </si>
  <si>
    <t xml:space="preserve">PO-2025-0197</t>
  </si>
  <si>
    <t xml:space="preserve">SO-4500198</t>
  </si>
  <si>
    <t xml:space="preserve">PO-2025-0198</t>
  </si>
  <si>
    <t xml:space="preserve">SO-4500199</t>
  </si>
  <si>
    <t xml:space="preserve">PO-2025-0199</t>
  </si>
  <si>
    <t xml:space="preserve">SO-4500200</t>
  </si>
  <si>
    <t xml:space="preserve">PO-2025-0200</t>
  </si>
  <si>
    <t xml:space="preserve">TOTALS / SUMMARY</t>
  </si>
  <si>
    <t xml:space="preserve">DISCREPANCY RESOLUTION LOG  |  Root Cause Analysis &amp; Corrective Actions</t>
  </si>
  <si>
    <t xml:space="preserve">Ref #</t>
  </si>
  <si>
    <t xml:space="preserve">Sales Order</t>
  </si>
  <si>
    <t xml:space="preserve">Customer</t>
  </si>
  <si>
    <t xml:space="preserve">Product</t>
  </si>
  <si>
    <t xml:space="preserve">% Deviation</t>
  </si>
  <si>
    <t xml:space="preserve">Root Cause</t>
  </si>
  <si>
    <t xml:space="preserve">Corrective Action</t>
  </si>
  <si>
    <t xml:space="preserve">Cost centre mandatory field bypassed during peak order volume</t>
  </si>
  <si>
    <t xml:space="preserve">Cost centre added via VA02; mandatory field validation enforced</t>
  </si>
  <si>
    <t xml:space="preserve">Manual keying error – similar customer names in master data</t>
  </si>
  <si>
    <t xml:space="preserve">Order cancelled and re-raised with correct customer ID; master data flagged</t>
  </si>
  <si>
    <t xml:space="preserve">Pricing condition record not updated after quarterly review</t>
  </si>
  <si>
    <t xml:space="preserve">Price corrected via VA02; VK13 condition record updated and validated</t>
  </si>
  <si>
    <t xml:space="preserve">UoM not defaulted correctly for this material/customer combination</t>
  </si>
  <si>
    <t xml:space="preserve">UoM corrected in VA02; default UoM rule added to material master</t>
  </si>
  <si>
    <t xml:space="preserve">WEEKLY KPI DASHBOARD  |  Order Volume | Error Rate | Resolution Performance</t>
  </si>
  <si>
    <t xml:space="preserve">Orders Processed</t>
  </si>
  <si>
    <t xml:space="preserve">Discrepancies Found</t>
  </si>
  <si>
    <t xml:space="preserve">Verified Clean</t>
  </si>
  <si>
    <t xml:space="preserve">Error Rate</t>
  </si>
  <si>
    <t xml:space="preserve">TOTAL</t>
  </si>
  <si>
    <t xml:space="preserve">SAP ORDER ENTRY VALIDATION CHECKLIST  |  Standard Operating Procedure</t>
  </si>
  <si>
    <t xml:space="preserve">Prepared by: Oluwagbade Joseph Odimayo  |  Version 1.0  |  March 2025  |  SAP SD Order Management Project</t>
  </si>
  <si>
    <t xml:space="preserve">PRE-ENTRY CHECKS  (Complete BEFORE opening VA01 / Create Order)</t>
  </si>
  <si>
    <t xml:space="preserve">Ref</t>
  </si>
  <si>
    <t xml:space="preserve">Check Item</t>
  </si>
  <si>
    <t xml:space="preserve">Reference Source</t>
  </si>
  <si>
    <t xml:space="preserve">1.1</t>
  </si>
  <si>
    <t xml:space="preserve">Customer master record verified — correct customer ID confirmed in system</t>
  </si>
  <si>
    <t xml:space="preserve">Customer Master / CRM</t>
  </si>
  <si>
    <t xml:space="preserve">☐ Complete</t>
  </si>
  <si>
    <t xml:space="preserve">1.2</t>
  </si>
  <si>
    <t xml:space="preserve">Customer credit status checked — no credit block active</t>
  </si>
  <si>
    <t xml:space="preserve">Credit Management</t>
  </si>
  <si>
    <t xml:space="preserve">1.3</t>
  </si>
  <si>
    <t xml:space="preserve">Product material number confirmed as active and not discontinued</t>
  </si>
  <si>
    <t xml:space="preserve">Material Master</t>
  </si>
  <si>
    <t xml:space="preserve">1.4</t>
  </si>
  <si>
    <t xml:space="preserve">Standard pricing condition record checked (VK13) for this customer/product</t>
  </si>
  <si>
    <t xml:space="preserve">Pricing Master</t>
  </si>
  <si>
    <t xml:space="preserve">1.5</t>
  </si>
  <si>
    <t xml:space="preserve">Requested delivery date feasibility confirmed against lead time</t>
  </si>
  <si>
    <t xml:space="preserve">Logistics / Planning</t>
  </si>
  <si>
    <t xml:space="preserve">1.6</t>
  </si>
  <si>
    <t xml:space="preserve">Customer PO document received and PO number recorded</t>
  </si>
  <si>
    <t xml:space="preserve">Customer PO</t>
  </si>
  <si>
    <t xml:space="preserve">1.7</t>
  </si>
  <si>
    <t xml:space="preserve">Unit of measure confirmed matches customer purchase order</t>
  </si>
  <si>
    <t xml:space="preserve">DURING ENTRY CHECKS  (Complete WHILE creating order in VA01 / SAP Fiori)</t>
  </si>
  <si>
    <t xml:space="preserve">2.1</t>
  </si>
  <si>
    <t xml:space="preserve">Sales order type selected correctly (e.g. Standard Order = OR)</t>
  </si>
  <si>
    <t xml:space="preserve">SAP SD Config</t>
  </si>
  <si>
    <t xml:space="preserve">2.2</t>
  </si>
  <si>
    <t xml:space="preserve">Customer sold-to party number entered exactly as per master record</t>
  </si>
  <si>
    <t xml:space="preserve">Customer Master</t>
  </si>
  <si>
    <t xml:space="preserve">2.3</t>
  </si>
  <si>
    <t xml:space="preserve">PO reference number entered in correct field — no typos</t>
  </si>
  <si>
    <t xml:space="preserve">2.4</t>
  </si>
  <si>
    <t xml:space="preserve">Material code entered correctly — system description matches PO</t>
  </si>
  <si>
    <t xml:space="preserve">2.5</t>
  </si>
  <si>
    <t xml:space="preserve">Quantity entered matches customer PO — no rounding or approximation</t>
  </si>
  <si>
    <t xml:space="preserve">2.6</t>
  </si>
  <si>
    <t xml:space="preserve">System-proposed price matches VK13 condition record — do not override</t>
  </si>
  <si>
    <t xml:space="preserve">2.7</t>
  </si>
  <si>
    <t xml:space="preserve">Unit of measure matches UoM on PO and material master default</t>
  </si>
  <si>
    <t xml:space="preserve">2.8</t>
  </si>
  <si>
    <t xml:space="preserve">Requested delivery date entered correctly (DD/MM/YYYY format)</t>
  </si>
  <si>
    <t xml:space="preserve">2.9</t>
  </si>
  <si>
    <t xml:space="preserve">Cost centre reference populated (mandatory field — do not bypass)</t>
  </si>
  <si>
    <t xml:space="preserve">Finance / Controlling</t>
  </si>
  <si>
    <t xml:space="preserve">POST-ENTRY CHECKS  (Complete AFTER saving — use VA03 / Fiori to review)</t>
  </si>
  <si>
    <t xml:space="preserve">3.1</t>
  </si>
  <si>
    <t xml:space="preserve">Order saved successfully — SAP order number recorded in tracking register</t>
  </si>
  <si>
    <t xml:space="preserve">Order Register</t>
  </si>
  <si>
    <t xml:space="preserve">3.2</t>
  </si>
  <si>
    <t xml:space="preserve">VA03 review confirms all line item data matches customer PO exactly</t>
  </si>
  <si>
    <t xml:space="preserve">VA03 / Fiori</t>
  </si>
  <si>
    <t xml:space="preserve">3.3</t>
  </si>
  <si>
    <t xml:space="preserve">Entered price in order matches VK13 standard condition — zero variance</t>
  </si>
  <si>
    <t xml:space="preserve">VK13 / Pricing</t>
  </si>
  <si>
    <t xml:space="preserve">3.4</t>
  </si>
  <si>
    <t xml:space="preserve">Order status shows correctly in SAP Fiori Manage Sales Orders app</t>
  </si>
  <si>
    <t xml:space="preserve">SAP Fiori</t>
  </si>
  <si>
    <t xml:space="preserve">3.5</t>
  </si>
  <si>
    <t xml:space="preserve">No system warning messages or hard errors present on the order</t>
  </si>
  <si>
    <t xml:space="preserve">SAP System</t>
  </si>
  <si>
    <t xml:space="preserve">3.6</t>
  </si>
  <si>
    <t xml:space="preserve">Order number and PO reference logged in the daily order register</t>
  </si>
  <si>
    <t xml:space="preserve">3.7</t>
  </si>
  <si>
    <t xml:space="preserve">Delivery date confirmed plausible and not in the past</t>
  </si>
  <si>
    <t xml:space="preserve">DISCREPANCY RESOLUTION PROTOCOL  (If any check above fails)</t>
  </si>
  <si>
    <t xml:space="preserve">4.1</t>
  </si>
  <si>
    <t xml:space="preserve">Discrepancy logged immediately in Discrepancy Log with order number</t>
  </si>
  <si>
    <t xml:space="preserve">Discrepancy Log</t>
  </si>
  <si>
    <t xml:space="preserve">4.2</t>
  </si>
  <si>
    <t xml:space="preserve">Root cause identified — pricing, master data, or keying error</t>
  </si>
  <si>
    <t xml:space="preserve">Investigation</t>
  </si>
  <si>
    <t xml:space="preserve">4.3</t>
  </si>
  <si>
    <t xml:space="preserve">Relevant team notified: Finance (pricing), IT (master data), Ops (delivery)</t>
  </si>
  <si>
    <t xml:space="preserve">Internal Teams</t>
  </si>
  <si>
    <t xml:space="preserve">4.4</t>
  </si>
  <si>
    <t xml:space="preserve">Correction made via VA02 (change order) — original values documented</t>
  </si>
  <si>
    <t xml:space="preserve">VA02 / SAP</t>
  </si>
  <si>
    <t xml:space="preserve">4.5</t>
  </si>
  <si>
    <t xml:space="preserve">Corrected order re-validated against all post-entry checks above</t>
  </si>
  <si>
    <t xml:space="preserve">4.6</t>
  </si>
  <si>
    <t xml:space="preserve">Discrepancy Log updated: resolution notes, corrective action, status=Resolved</t>
  </si>
  <si>
    <t xml:space="preserve">4.7</t>
  </si>
  <si>
    <t xml:space="preserve">Recurring discrepancy type escalated for process improvement review</t>
  </si>
  <si>
    <t xml:space="preserve">Process Improvement</t>
  </si>
  <si>
    <t xml:space="preserve">PRICING CONDITION MASTER RECORD  |  Equivalent to SAP Transaction VK13</t>
  </si>
  <si>
    <t xml:space="preserve">Valid From</t>
  </si>
  <si>
    <t xml:space="preserve">Valid To</t>
  </si>
  <si>
    <t xml:space="preserve">Condition Type</t>
  </si>
  <si>
    <t xml:space="preserve">Last Updated</t>
  </si>
  <si>
    <t xml:space="preserve">01/01/2025</t>
  </si>
  <si>
    <t xml:space="preserve">31/12/2025</t>
  </si>
  <si>
    <t xml:space="preserve">PR00</t>
  </si>
  <si>
    <t xml:space="preserve">03/01/2025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</si>
</sst>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£#,##0.00"/>
    <numFmt numFmtId="167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BDD7EE"/>
      <name val="Arial"/>
      <family val="0"/>
      <charset val="1"/>
    </font>
    <font>
      <sz val="10"/>
      <color rgb="FFD6E4F0"/>
      <name val="Arial"/>
      <family val="0"/>
      <charset val="1"/>
    </font>
    <font>
      <b val="true"/>
      <sz val="12"/>
      <color rgb="FF1B3A5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2C2C2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2C2C2C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1E714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59595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5C"/>
        <bgColor rgb="FF2C2C2C"/>
      </patternFill>
    </fill>
    <fill>
      <patternFill patternType="solid">
        <fgColor rgb="FF2E75B6"/>
        <bgColor rgb="FF0066CC"/>
      </patternFill>
    </fill>
    <fill>
      <patternFill patternType="solid">
        <fgColor rgb="FF1E7145"/>
        <bgColor rgb="FF008080"/>
      </patternFill>
    </fill>
    <fill>
      <patternFill patternType="solid">
        <fgColor rgb="FF9C0006"/>
        <bgColor rgb="FF800000"/>
      </patternFill>
    </fill>
    <fill>
      <patternFill patternType="solid">
        <fgColor rgb="FF9C5700"/>
        <bgColor rgb="FF808000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9F9F9"/>
      </patternFill>
    </fill>
    <fill>
      <patternFill patternType="solid">
        <fgColor rgb="FFEBF3FB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2C2C2C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E7145"/>
      <rgbColor rgb="FFD9D9D9"/>
      <rgbColor rgb="FF878787"/>
      <rgbColor rgb="FF9999FF"/>
      <rgbColor rgb="FF993366"/>
      <rgbColor rgb="FFF9F9F9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F2F2F2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C57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Processed per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 Dashboard'!B3</c:f>
              <c:strCache>
                <c:ptCount val="1"/>
                <c:pt idx="0">
                  <c:v>Orders Processed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Dashboard'!$A$4:$A$11</c:f>
              <c:strCache>
                <c:ptCount val="8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</c:strCache>
            </c:strRef>
          </c:cat>
          <c:val>
            <c:numRef>
              <c:f>'KPI Dashboard'!$B$4:$B$11</c:f>
              <c:numCache>
                <c:formatCode>General</c:formatCode>
                <c:ptCount val="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</c:numCache>
            </c:numRef>
          </c:val>
        </c:ser>
        <c:gapWidth val="150"/>
        <c:overlap val="0"/>
        <c:axId val="47612290"/>
        <c:axId val="83833326"/>
      </c:barChart>
      <c:catAx>
        <c:axId val="476122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33326"/>
        <c:crosses val="autoZero"/>
        <c:auto val="1"/>
        <c:lblAlgn val="ctr"/>
        <c:lblOffset val="100"/>
        <c:noMultiLvlLbl val="0"/>
      </c:catAx>
      <c:valAx>
        <c:axId val="838333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122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Error Rate Trend by Week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Dashboard'!F3</c:f>
              <c:strCache>
                <c:ptCount val="1"/>
                <c:pt idx="0">
                  <c:v>Error Rate</c:v>
                </c:pt>
              </c:strCache>
            </c:strRef>
          </c:tx>
          <c:spPr>
            <a:solidFill>
              <a:srgbClr val="9c0006"/>
            </a:solidFill>
            <a:ln w="24840">
              <a:solidFill>
                <a:srgbClr val="9c000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Dashboard'!$A$4:$A$11</c:f>
              <c:strCache>
                <c:ptCount val="8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</c:strCache>
            </c:strRef>
          </c:cat>
          <c:val>
            <c:numRef>
              <c:f>'KPI Dashboard'!$F$4:$F$11</c:f>
              <c:numCache>
                <c:formatCode>0.0%</c:formatCode>
                <c:ptCount val="8"/>
                <c:pt idx="0">
                  <c:v>0.04</c:v>
                </c:pt>
                <c:pt idx="1">
                  <c:v>0.12</c:v>
                </c:pt>
                <c:pt idx="2">
                  <c:v>0.12</c:v>
                </c:pt>
                <c:pt idx="3">
                  <c:v>0.08</c:v>
                </c:pt>
                <c:pt idx="4">
                  <c:v>0.04</c:v>
                </c:pt>
                <c:pt idx="5">
                  <c:v>0</c:v>
                </c:pt>
                <c:pt idx="6">
                  <c:v>0.04</c:v>
                </c:pt>
                <c:pt idx="7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282198"/>
        <c:axId val="26610347"/>
      </c:lineChart>
      <c:catAx>
        <c:axId val="152821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10347"/>
        <c:crosses val="autoZero"/>
        <c:auto val="1"/>
        <c:lblAlgn val="ctr"/>
        <c:lblOffset val="100"/>
        <c:noMultiLvlLbl val="0"/>
      </c:catAx>
      <c:valAx>
        <c:axId val="266103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Error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821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17</xdr:col>
      <xdr:colOff>364680</xdr:colOff>
      <xdr:row>21</xdr:row>
      <xdr:rowOff>42840</xdr:rowOff>
    </xdr:to>
    <xdr:graphicFrame>
      <xdr:nvGraphicFramePr>
        <xdr:cNvPr id="0" name="Chart 1"/>
        <xdr:cNvGraphicFramePr/>
      </xdr:nvGraphicFramePr>
      <xdr:xfrm>
        <a:off x="7237080" y="5904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17</xdr:col>
      <xdr:colOff>364680</xdr:colOff>
      <xdr:row>43</xdr:row>
      <xdr:rowOff>128520</xdr:rowOff>
    </xdr:to>
    <xdr:graphicFrame>
      <xdr:nvGraphicFramePr>
        <xdr:cNvPr id="1" name="Chart 2"/>
        <xdr:cNvGraphicFramePr/>
      </xdr:nvGraphicFramePr>
      <xdr:xfrm>
        <a:off x="7237080" y="48672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E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32"/>
    <col collapsed="false" customWidth="true" hidden="false" outlineLevel="0" max="4" min="4" style="0" width="20"/>
    <col collapsed="false" customWidth="true" hidden="false" outlineLevel="0" max="5" min="5" style="0" width="3"/>
  </cols>
  <sheetData>
    <row r="1" customFormat="false" ht="7.5" hidden="false" customHeight="true" outlineLevel="0" collapsed="false">
      <c r="A1" s="1"/>
      <c r="B1" s="1"/>
      <c r="C1" s="1"/>
      <c r="D1" s="1"/>
      <c r="E1" s="1"/>
    </row>
    <row r="2" customFormat="false" ht="36" hidden="false" customHeight="true" outlineLevel="0" collapsed="false">
      <c r="A2" s="1"/>
      <c r="B2" s="2" t="s">
        <v>0</v>
      </c>
      <c r="C2" s="2"/>
      <c r="D2" s="2"/>
      <c r="E2" s="1"/>
    </row>
    <row r="3" customFormat="false" ht="21.75" hidden="false" customHeight="true" outlineLevel="0" collapsed="false">
      <c r="A3" s="1"/>
      <c r="B3" s="3" t="s">
        <v>1</v>
      </c>
      <c r="C3" s="3"/>
      <c r="D3" s="3"/>
      <c r="E3" s="1"/>
    </row>
    <row r="4" customFormat="false" ht="19.5" hidden="false" customHeight="true" outlineLevel="0" collapsed="false">
      <c r="A4" s="1"/>
      <c r="B4" s="4" t="s">
        <v>2</v>
      </c>
      <c r="C4" s="4"/>
      <c r="D4" s="4"/>
      <c r="E4" s="1"/>
    </row>
    <row r="5" customFormat="false" ht="7.5" hidden="false" customHeight="true" outlineLevel="0" collapsed="false">
      <c r="A5" s="1"/>
      <c r="B5" s="1"/>
      <c r="C5" s="1"/>
      <c r="D5" s="1"/>
      <c r="E5" s="1"/>
    </row>
    <row r="6" customFormat="false" ht="15" hidden="false" customHeight="false" outlineLevel="0" collapsed="false">
      <c r="A6" s="1"/>
      <c r="B6" s="1"/>
      <c r="C6" s="1"/>
      <c r="D6" s="1"/>
      <c r="E6" s="1"/>
    </row>
    <row r="7" customFormat="false" ht="24" hidden="false" customHeight="true" outlineLevel="0" collapsed="false">
      <c r="B7" s="5" t="s">
        <v>3</v>
      </c>
      <c r="C7" s="5"/>
      <c r="D7" s="5"/>
    </row>
    <row r="8" customFormat="false" ht="18" hidden="false" customHeight="true" outlineLevel="0" collapsed="false">
      <c r="B8" s="6" t="s">
        <v>4</v>
      </c>
      <c r="C8" s="7" t="s">
        <v>5</v>
      </c>
      <c r="D8" s="8" t="s">
        <v>6</v>
      </c>
    </row>
    <row r="9" customFormat="false" ht="36" hidden="false" customHeight="true" outlineLevel="0" collapsed="false">
      <c r="B9" s="9" t="s">
        <v>7</v>
      </c>
      <c r="C9" s="10" t="s">
        <v>8</v>
      </c>
      <c r="D9" s="11" t="s">
        <v>9</v>
      </c>
    </row>
    <row r="10" customFormat="false" ht="7.5" hidden="false" customHeight="true" outlineLevel="0" collapsed="false">
      <c r="B10" s="12"/>
      <c r="C10" s="13"/>
      <c r="D10" s="14"/>
    </row>
    <row r="12" customFormat="false" ht="18" hidden="false" customHeight="true" outlineLevel="0" collapsed="false">
      <c r="B12" s="7" t="s">
        <v>10</v>
      </c>
      <c r="C12" s="15" t="s">
        <v>11</v>
      </c>
      <c r="D12" s="7" t="s">
        <v>12</v>
      </c>
    </row>
    <row r="13" customFormat="false" ht="36" hidden="false" customHeight="true" outlineLevel="0" collapsed="false">
      <c r="B13" s="10" t="s">
        <v>9</v>
      </c>
      <c r="C13" s="16" t="s">
        <v>13</v>
      </c>
      <c r="D13" s="10" t="s">
        <v>14</v>
      </c>
    </row>
    <row r="14" customFormat="false" ht="7.5" hidden="false" customHeight="true" outlineLevel="0" collapsed="false">
      <c r="B14" s="13"/>
      <c r="C14" s="17"/>
      <c r="D14" s="13"/>
    </row>
    <row r="17" customFormat="false" ht="15" hidden="false" customHeight="false" outlineLevel="0" collapsed="false">
      <c r="B17" s="5" t="s">
        <v>15</v>
      </c>
      <c r="C17" s="5"/>
      <c r="D17" s="5"/>
    </row>
    <row r="18" customFormat="false" ht="19.5" hidden="false" customHeight="true" outlineLevel="0" collapsed="false">
      <c r="B18" s="18" t="s">
        <v>16</v>
      </c>
      <c r="C18" s="19" t="s">
        <v>17</v>
      </c>
      <c r="D18" s="19"/>
    </row>
    <row r="19" customFormat="false" ht="19.5" hidden="false" customHeight="true" outlineLevel="0" collapsed="false">
      <c r="B19" s="20" t="s">
        <v>18</v>
      </c>
      <c r="C19" s="21" t="s">
        <v>19</v>
      </c>
      <c r="D19" s="21"/>
    </row>
    <row r="20" customFormat="false" ht="19.5" hidden="false" customHeight="true" outlineLevel="0" collapsed="false">
      <c r="B20" s="18" t="s">
        <v>20</v>
      </c>
      <c r="C20" s="19" t="s">
        <v>21</v>
      </c>
      <c r="D20" s="19"/>
    </row>
    <row r="21" customFormat="false" ht="19.5" hidden="false" customHeight="true" outlineLevel="0" collapsed="false">
      <c r="B21" s="20" t="s">
        <v>22</v>
      </c>
      <c r="C21" s="21" t="s">
        <v>23</v>
      </c>
      <c r="D21" s="21"/>
    </row>
    <row r="22" customFormat="false" ht="19.5" hidden="false" customHeight="true" outlineLevel="0" collapsed="false">
      <c r="B22" s="18" t="s">
        <v>24</v>
      </c>
      <c r="C22" s="19" t="s">
        <v>25</v>
      </c>
      <c r="D22" s="19"/>
    </row>
    <row r="23" customFormat="false" ht="19.5" hidden="false" customHeight="true" outlineLevel="0" collapsed="false">
      <c r="B23" s="20" t="s">
        <v>26</v>
      </c>
      <c r="C23" s="21" t="s">
        <v>27</v>
      </c>
      <c r="D23" s="21"/>
    </row>
    <row r="24" customFormat="false" ht="19.5" hidden="false" customHeight="true" outlineLevel="0" collapsed="false">
      <c r="B24" s="18" t="s">
        <v>28</v>
      </c>
      <c r="C24" s="19" t="s">
        <v>29</v>
      </c>
      <c r="D24" s="19"/>
    </row>
    <row r="25" customFormat="false" ht="19.5" hidden="false" customHeight="true" outlineLevel="0" collapsed="false">
      <c r="B25" s="20" t="s">
        <v>30</v>
      </c>
      <c r="C25" s="21" t="s">
        <v>31</v>
      </c>
      <c r="D25" s="21"/>
    </row>
  </sheetData>
  <mergeCells count="13">
    <mergeCell ref="B2:D2"/>
    <mergeCell ref="B3:D3"/>
    <mergeCell ref="B4:D4"/>
    <mergeCell ref="B7:D7"/>
    <mergeCell ref="B17:D17"/>
    <mergeCell ref="C18:D18"/>
    <mergeCell ref="C19:D19"/>
    <mergeCell ref="C20:D20"/>
    <mergeCell ref="C21:D21"/>
    <mergeCell ref="C22:D22"/>
    <mergeCell ref="C23:D23"/>
    <mergeCell ref="C24:D24"/>
    <mergeCell ref="C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T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26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13" min="12" style="0" width="15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12"/>
    <col collapsed="false" customWidth="true" hidden="false" outlineLevel="0" max="17" min="17" style="0" width="30"/>
    <col collapsed="false" customWidth="true" hidden="false" outlineLevel="0" max="18" min="18" style="0" width="16"/>
    <col collapsed="false" customWidth="true" hidden="false" outlineLevel="0" max="19" min="19" style="0" width="35"/>
    <col collapsed="false" customWidth="true" hidden="false" outlineLevel="0" max="20" min="20" style="0" width="8"/>
  </cols>
  <sheetData>
    <row r="1" customFormat="false" ht="27.75" hidden="false" customHeight="true" outlineLevel="0" collapsed="false">
      <c r="A1" s="22" t="s">
        <v>32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customFormat="false" ht="30" hidden="false" customHeight="true" outlineLevel="0" collapsed="false">
      <c r="A2" s="23" t="s">
        <v>33</v>
      </c>
      <c r="B2" s="23" t="s">
        <v>34</v>
      </c>
      <c r="C2" s="23" t="s">
        <v>35</v>
      </c>
      <c r="D2" s="23" t="s">
        <v>36</v>
      </c>
      <c r="E2" s="23" t="s">
        <v>37</v>
      </c>
      <c r="F2" s="23" t="s">
        <v>38</v>
      </c>
      <c r="G2" s="23" t="s">
        <v>39</v>
      </c>
      <c r="H2" s="23" t="s">
        <v>40</v>
      </c>
      <c r="I2" s="23" t="s">
        <v>41</v>
      </c>
      <c r="J2" s="23" t="s">
        <v>42</v>
      </c>
      <c r="K2" s="23" t="s">
        <v>43</v>
      </c>
      <c r="L2" s="23" t="s">
        <v>44</v>
      </c>
      <c r="M2" s="23" t="s">
        <v>45</v>
      </c>
      <c r="N2" s="23" t="s">
        <v>46</v>
      </c>
      <c r="O2" s="23" t="s">
        <v>47</v>
      </c>
      <c r="P2" s="23" t="s">
        <v>48</v>
      </c>
      <c r="Q2" s="23" t="s">
        <v>49</v>
      </c>
      <c r="R2" s="23" t="s">
        <v>50</v>
      </c>
      <c r="S2" s="23" t="s">
        <v>51</v>
      </c>
      <c r="T2" s="23" t="s">
        <v>52</v>
      </c>
    </row>
    <row r="3" customFormat="false" ht="15.75" hidden="false" customHeight="true" outlineLevel="0" collapsed="false">
      <c r="A3" s="24" t="s">
        <v>53</v>
      </c>
      <c r="B3" s="24" t="s">
        <v>54</v>
      </c>
      <c r="C3" s="24" t="s">
        <v>55</v>
      </c>
      <c r="D3" s="24" t="s">
        <v>56</v>
      </c>
      <c r="E3" s="24" t="s">
        <v>57</v>
      </c>
      <c r="F3" s="21" t="s">
        <v>58</v>
      </c>
      <c r="G3" s="24" t="s">
        <v>59</v>
      </c>
      <c r="H3" s="21" t="s">
        <v>60</v>
      </c>
      <c r="I3" s="21" t="s">
        <v>61</v>
      </c>
      <c r="J3" s="24" t="s">
        <v>62</v>
      </c>
      <c r="K3" s="25" t="n">
        <v>194</v>
      </c>
      <c r="L3" s="26" t="n">
        <v>12.5</v>
      </c>
      <c r="M3" s="26" t="n">
        <v>12.5</v>
      </c>
      <c r="N3" s="26" t="n">
        <v>2425</v>
      </c>
      <c r="O3" s="26" t="n">
        <v>2425</v>
      </c>
      <c r="P3" s="26" t="n">
        <v>0</v>
      </c>
      <c r="Q3" s="21"/>
      <c r="R3" s="27" t="s">
        <v>63</v>
      </c>
      <c r="S3" s="21"/>
      <c r="T3" s="24" t="s">
        <v>64</v>
      </c>
    </row>
    <row r="4" customFormat="false" ht="15.75" hidden="false" customHeight="true" outlineLevel="0" collapsed="false">
      <c r="A4" s="28" t="s">
        <v>65</v>
      </c>
      <c r="B4" s="28" t="s">
        <v>66</v>
      </c>
      <c r="C4" s="28" t="s">
        <v>67</v>
      </c>
      <c r="D4" s="28" t="s">
        <v>56</v>
      </c>
      <c r="E4" s="28" t="s">
        <v>57</v>
      </c>
      <c r="F4" s="29" t="s">
        <v>58</v>
      </c>
      <c r="G4" s="28" t="s">
        <v>59</v>
      </c>
      <c r="H4" s="29" t="s">
        <v>68</v>
      </c>
      <c r="I4" s="29" t="s">
        <v>69</v>
      </c>
      <c r="J4" s="28" t="s">
        <v>70</v>
      </c>
      <c r="K4" s="30" t="n">
        <v>194</v>
      </c>
      <c r="L4" s="31" t="n">
        <v>3.2</v>
      </c>
      <c r="M4" s="31" t="n">
        <v>3.2</v>
      </c>
      <c r="N4" s="31" t="n">
        <v>620.8</v>
      </c>
      <c r="O4" s="31" t="n">
        <v>620.8</v>
      </c>
      <c r="P4" s="31" t="n">
        <v>0</v>
      </c>
      <c r="Q4" s="29"/>
      <c r="R4" s="32" t="s">
        <v>63</v>
      </c>
      <c r="S4" s="29"/>
      <c r="T4" s="28" t="s">
        <v>64</v>
      </c>
    </row>
    <row r="5" customFormat="false" ht="15.75" hidden="false" customHeight="true" outlineLevel="0" collapsed="false">
      <c r="A5" s="24" t="s">
        <v>71</v>
      </c>
      <c r="B5" s="24" t="s">
        <v>72</v>
      </c>
      <c r="C5" s="24" t="s">
        <v>73</v>
      </c>
      <c r="D5" s="24" t="s">
        <v>74</v>
      </c>
      <c r="E5" s="24" t="s">
        <v>75</v>
      </c>
      <c r="F5" s="21" t="s">
        <v>76</v>
      </c>
      <c r="G5" s="24" t="s">
        <v>77</v>
      </c>
      <c r="H5" s="21" t="s">
        <v>60</v>
      </c>
      <c r="I5" s="21" t="s">
        <v>61</v>
      </c>
      <c r="J5" s="24" t="s">
        <v>62</v>
      </c>
      <c r="K5" s="25" t="n">
        <v>28</v>
      </c>
      <c r="L5" s="26" t="n">
        <v>12.5</v>
      </c>
      <c r="M5" s="26" t="n">
        <v>12.5</v>
      </c>
      <c r="N5" s="26" t="n">
        <v>350</v>
      </c>
      <c r="O5" s="26" t="n">
        <v>350</v>
      </c>
      <c r="P5" s="26" t="n">
        <v>0</v>
      </c>
      <c r="Q5" s="21"/>
      <c r="R5" s="27" t="s">
        <v>63</v>
      </c>
      <c r="S5" s="21"/>
      <c r="T5" s="24" t="s">
        <v>64</v>
      </c>
    </row>
    <row r="6" customFormat="false" ht="15.75" hidden="false" customHeight="true" outlineLevel="0" collapsed="false">
      <c r="A6" s="28" t="s">
        <v>78</v>
      </c>
      <c r="B6" s="28" t="s">
        <v>79</v>
      </c>
      <c r="C6" s="28" t="s">
        <v>67</v>
      </c>
      <c r="D6" s="28" t="s">
        <v>80</v>
      </c>
      <c r="E6" s="28" t="s">
        <v>75</v>
      </c>
      <c r="F6" s="29" t="s">
        <v>76</v>
      </c>
      <c r="G6" s="28" t="s">
        <v>77</v>
      </c>
      <c r="H6" s="29" t="s">
        <v>81</v>
      </c>
      <c r="I6" s="29" t="s">
        <v>82</v>
      </c>
      <c r="J6" s="28" t="s">
        <v>83</v>
      </c>
      <c r="K6" s="30" t="n">
        <v>55</v>
      </c>
      <c r="L6" s="31" t="n">
        <v>38</v>
      </c>
      <c r="M6" s="31" t="n">
        <v>38</v>
      </c>
      <c r="N6" s="31" t="n">
        <v>2090</v>
      </c>
      <c r="O6" s="31" t="n">
        <v>2090</v>
      </c>
      <c r="P6" s="31" t="n">
        <v>0</v>
      </c>
      <c r="Q6" s="29"/>
      <c r="R6" s="32" t="s">
        <v>63</v>
      </c>
      <c r="S6" s="29"/>
      <c r="T6" s="28" t="s">
        <v>64</v>
      </c>
    </row>
    <row r="7" customFormat="false" ht="15.75" hidden="false" customHeight="true" outlineLevel="0" collapsed="false">
      <c r="A7" s="24" t="s">
        <v>84</v>
      </c>
      <c r="B7" s="24" t="s">
        <v>85</v>
      </c>
      <c r="C7" s="24" t="s">
        <v>73</v>
      </c>
      <c r="D7" s="24" t="s">
        <v>86</v>
      </c>
      <c r="E7" s="24" t="s">
        <v>87</v>
      </c>
      <c r="F7" s="21" t="s">
        <v>88</v>
      </c>
      <c r="G7" s="24" t="s">
        <v>89</v>
      </c>
      <c r="H7" s="21" t="s">
        <v>90</v>
      </c>
      <c r="I7" s="21" t="s">
        <v>91</v>
      </c>
      <c r="J7" s="24" t="s">
        <v>70</v>
      </c>
      <c r="K7" s="25" t="n">
        <v>6</v>
      </c>
      <c r="L7" s="26" t="n">
        <v>8.75</v>
      </c>
      <c r="M7" s="26" t="n">
        <v>8.75</v>
      </c>
      <c r="N7" s="26" t="n">
        <v>52.5</v>
      </c>
      <c r="O7" s="26" t="n">
        <v>52.5</v>
      </c>
      <c r="P7" s="26" t="n">
        <v>0</v>
      </c>
      <c r="Q7" s="21"/>
      <c r="R7" s="27" t="s">
        <v>63</v>
      </c>
      <c r="S7" s="21"/>
      <c r="T7" s="24" t="s">
        <v>64</v>
      </c>
    </row>
    <row r="8" customFormat="false" ht="15.75" hidden="false" customHeight="true" outlineLevel="0" collapsed="false">
      <c r="A8" s="33" t="s">
        <v>92</v>
      </c>
      <c r="B8" s="33" t="s">
        <v>93</v>
      </c>
      <c r="C8" s="33" t="s">
        <v>55</v>
      </c>
      <c r="D8" s="33" t="s">
        <v>94</v>
      </c>
      <c r="E8" s="33" t="s">
        <v>95</v>
      </c>
      <c r="F8" s="34" t="s">
        <v>96</v>
      </c>
      <c r="G8" s="33" t="s">
        <v>97</v>
      </c>
      <c r="H8" s="34" t="s">
        <v>98</v>
      </c>
      <c r="I8" s="34" t="s">
        <v>99</v>
      </c>
      <c r="J8" s="33" t="s">
        <v>83</v>
      </c>
      <c r="K8" s="35" t="n">
        <v>60</v>
      </c>
      <c r="L8" s="36" t="n">
        <v>206.31</v>
      </c>
      <c r="M8" s="36" t="n">
        <v>189</v>
      </c>
      <c r="N8" s="36" t="n">
        <v>12378.6</v>
      </c>
      <c r="O8" s="36" t="n">
        <v>11340</v>
      </c>
      <c r="P8" s="36" t="n">
        <v>1038.6</v>
      </c>
      <c r="Q8" s="34" t="s">
        <v>100</v>
      </c>
      <c r="R8" s="37" t="s">
        <v>101</v>
      </c>
      <c r="S8" s="34"/>
      <c r="T8" s="33" t="s">
        <v>64</v>
      </c>
    </row>
    <row r="9" customFormat="false" ht="15.75" hidden="false" customHeight="true" outlineLevel="0" collapsed="false">
      <c r="A9" s="24" t="s">
        <v>102</v>
      </c>
      <c r="B9" s="24" t="s">
        <v>103</v>
      </c>
      <c r="C9" s="24" t="s">
        <v>104</v>
      </c>
      <c r="D9" s="24" t="s">
        <v>105</v>
      </c>
      <c r="E9" s="24" t="s">
        <v>95</v>
      </c>
      <c r="F9" s="21" t="s">
        <v>96</v>
      </c>
      <c r="G9" s="24" t="s">
        <v>97</v>
      </c>
      <c r="H9" s="21" t="s">
        <v>60</v>
      </c>
      <c r="I9" s="21" t="s">
        <v>61</v>
      </c>
      <c r="J9" s="24" t="s">
        <v>62</v>
      </c>
      <c r="K9" s="25" t="n">
        <v>191</v>
      </c>
      <c r="L9" s="26" t="n">
        <v>12.5</v>
      </c>
      <c r="M9" s="26" t="n">
        <v>12.5</v>
      </c>
      <c r="N9" s="26" t="n">
        <v>2387.5</v>
      </c>
      <c r="O9" s="26" t="n">
        <v>2387.5</v>
      </c>
      <c r="P9" s="26" t="n">
        <v>0</v>
      </c>
      <c r="Q9" s="21"/>
      <c r="R9" s="27" t="s">
        <v>63</v>
      </c>
      <c r="S9" s="21"/>
      <c r="T9" s="24" t="s">
        <v>64</v>
      </c>
    </row>
    <row r="10" customFormat="false" ht="15.75" hidden="false" customHeight="true" outlineLevel="0" collapsed="false">
      <c r="A10" s="28" t="s">
        <v>106</v>
      </c>
      <c r="B10" s="28" t="s">
        <v>107</v>
      </c>
      <c r="C10" s="28" t="s">
        <v>55</v>
      </c>
      <c r="D10" s="28" t="s">
        <v>108</v>
      </c>
      <c r="E10" s="28" t="s">
        <v>109</v>
      </c>
      <c r="F10" s="29" t="s">
        <v>110</v>
      </c>
      <c r="G10" s="28" t="s">
        <v>111</v>
      </c>
      <c r="H10" s="29" t="s">
        <v>112</v>
      </c>
      <c r="I10" s="29" t="s">
        <v>113</v>
      </c>
      <c r="J10" s="28" t="s">
        <v>83</v>
      </c>
      <c r="K10" s="30" t="n">
        <v>146</v>
      </c>
      <c r="L10" s="31" t="n">
        <v>245</v>
      </c>
      <c r="M10" s="31" t="n">
        <v>245</v>
      </c>
      <c r="N10" s="31" t="n">
        <v>35770</v>
      </c>
      <c r="O10" s="31" t="n">
        <v>35770</v>
      </c>
      <c r="P10" s="31" t="n">
        <v>0</v>
      </c>
      <c r="Q10" s="29"/>
      <c r="R10" s="32" t="s">
        <v>63</v>
      </c>
      <c r="S10" s="29"/>
      <c r="T10" s="28" t="s">
        <v>64</v>
      </c>
    </row>
    <row r="11" customFormat="false" ht="15.75" hidden="false" customHeight="true" outlineLevel="0" collapsed="false">
      <c r="A11" s="24" t="s">
        <v>114</v>
      </c>
      <c r="B11" s="24" t="s">
        <v>115</v>
      </c>
      <c r="C11" s="24" t="s">
        <v>116</v>
      </c>
      <c r="D11" s="24" t="s">
        <v>117</v>
      </c>
      <c r="E11" s="24" t="s">
        <v>118</v>
      </c>
      <c r="F11" s="21" t="s">
        <v>119</v>
      </c>
      <c r="G11" s="24" t="s">
        <v>120</v>
      </c>
      <c r="H11" s="21" t="s">
        <v>121</v>
      </c>
      <c r="I11" s="21" t="s">
        <v>122</v>
      </c>
      <c r="J11" s="24" t="s">
        <v>123</v>
      </c>
      <c r="K11" s="25" t="n">
        <v>54</v>
      </c>
      <c r="L11" s="26" t="n">
        <v>62</v>
      </c>
      <c r="M11" s="26" t="n">
        <v>62</v>
      </c>
      <c r="N11" s="26" t="n">
        <v>3348</v>
      </c>
      <c r="O11" s="26" t="n">
        <v>3348</v>
      </c>
      <c r="P11" s="26" t="n">
        <v>0</v>
      </c>
      <c r="Q11" s="21"/>
      <c r="R11" s="27" t="s">
        <v>63</v>
      </c>
      <c r="S11" s="21"/>
      <c r="T11" s="24" t="s">
        <v>64</v>
      </c>
    </row>
    <row r="12" customFormat="false" ht="15.75" hidden="false" customHeight="true" outlineLevel="0" collapsed="false">
      <c r="A12" s="28" t="s">
        <v>124</v>
      </c>
      <c r="B12" s="28" t="s">
        <v>125</v>
      </c>
      <c r="C12" s="28" t="s">
        <v>116</v>
      </c>
      <c r="D12" s="28" t="s">
        <v>126</v>
      </c>
      <c r="E12" s="28" t="s">
        <v>95</v>
      </c>
      <c r="F12" s="29" t="s">
        <v>96</v>
      </c>
      <c r="G12" s="28" t="s">
        <v>97</v>
      </c>
      <c r="H12" s="29" t="s">
        <v>112</v>
      </c>
      <c r="I12" s="29" t="s">
        <v>113</v>
      </c>
      <c r="J12" s="28" t="s">
        <v>83</v>
      </c>
      <c r="K12" s="30" t="n">
        <v>64</v>
      </c>
      <c r="L12" s="31" t="n">
        <v>245</v>
      </c>
      <c r="M12" s="31" t="n">
        <v>245</v>
      </c>
      <c r="N12" s="31" t="n">
        <v>15680</v>
      </c>
      <c r="O12" s="31" t="n">
        <v>15680</v>
      </c>
      <c r="P12" s="31" t="n">
        <v>0</v>
      </c>
      <c r="Q12" s="29"/>
      <c r="R12" s="32" t="s">
        <v>63</v>
      </c>
      <c r="S12" s="29"/>
      <c r="T12" s="28" t="s">
        <v>64</v>
      </c>
    </row>
    <row r="13" customFormat="false" ht="15.75" hidden="false" customHeight="true" outlineLevel="0" collapsed="false">
      <c r="A13" s="24" t="s">
        <v>127</v>
      </c>
      <c r="B13" s="24" t="s">
        <v>128</v>
      </c>
      <c r="C13" s="24" t="s">
        <v>55</v>
      </c>
      <c r="D13" s="24" t="s">
        <v>56</v>
      </c>
      <c r="E13" s="24" t="s">
        <v>118</v>
      </c>
      <c r="F13" s="21" t="s">
        <v>119</v>
      </c>
      <c r="G13" s="24" t="s">
        <v>120</v>
      </c>
      <c r="H13" s="21" t="s">
        <v>98</v>
      </c>
      <c r="I13" s="21" t="s">
        <v>99</v>
      </c>
      <c r="J13" s="24" t="s">
        <v>83</v>
      </c>
      <c r="K13" s="25" t="n">
        <v>99</v>
      </c>
      <c r="L13" s="26" t="n">
        <v>189</v>
      </c>
      <c r="M13" s="26" t="n">
        <v>189</v>
      </c>
      <c r="N13" s="26" t="n">
        <v>18711</v>
      </c>
      <c r="O13" s="26" t="n">
        <v>18711</v>
      </c>
      <c r="P13" s="26" t="n">
        <v>0</v>
      </c>
      <c r="Q13" s="21"/>
      <c r="R13" s="27" t="s">
        <v>63</v>
      </c>
      <c r="S13" s="21"/>
      <c r="T13" s="24" t="s">
        <v>64</v>
      </c>
    </row>
    <row r="14" customFormat="false" ht="15.75" hidden="false" customHeight="true" outlineLevel="0" collapsed="false">
      <c r="A14" s="28" t="s">
        <v>129</v>
      </c>
      <c r="B14" s="28" t="s">
        <v>130</v>
      </c>
      <c r="C14" s="28" t="s">
        <v>73</v>
      </c>
      <c r="D14" s="28" t="s">
        <v>131</v>
      </c>
      <c r="E14" s="28" t="s">
        <v>57</v>
      </c>
      <c r="F14" s="29" t="s">
        <v>58</v>
      </c>
      <c r="G14" s="28" t="s">
        <v>59</v>
      </c>
      <c r="H14" s="29" t="s">
        <v>121</v>
      </c>
      <c r="I14" s="29" t="s">
        <v>122</v>
      </c>
      <c r="J14" s="28" t="s">
        <v>123</v>
      </c>
      <c r="K14" s="30" t="n">
        <v>167</v>
      </c>
      <c r="L14" s="31" t="n">
        <v>62</v>
      </c>
      <c r="M14" s="31" t="n">
        <v>62</v>
      </c>
      <c r="N14" s="31" t="n">
        <v>10354</v>
      </c>
      <c r="O14" s="31" t="n">
        <v>10354</v>
      </c>
      <c r="P14" s="31" t="n">
        <v>0</v>
      </c>
      <c r="Q14" s="29"/>
      <c r="R14" s="32" t="s">
        <v>63</v>
      </c>
      <c r="S14" s="29"/>
      <c r="T14" s="28" t="s">
        <v>64</v>
      </c>
    </row>
    <row r="15" customFormat="false" ht="15.75" hidden="false" customHeight="true" outlineLevel="0" collapsed="false">
      <c r="A15" s="24" t="s">
        <v>132</v>
      </c>
      <c r="B15" s="24" t="s">
        <v>133</v>
      </c>
      <c r="C15" s="24" t="s">
        <v>55</v>
      </c>
      <c r="D15" s="24" t="s">
        <v>134</v>
      </c>
      <c r="E15" s="24" t="s">
        <v>135</v>
      </c>
      <c r="F15" s="21" t="s">
        <v>136</v>
      </c>
      <c r="G15" s="24" t="s">
        <v>137</v>
      </c>
      <c r="H15" s="21" t="s">
        <v>138</v>
      </c>
      <c r="I15" s="21" t="s">
        <v>139</v>
      </c>
      <c r="J15" s="24" t="s">
        <v>83</v>
      </c>
      <c r="K15" s="25" t="n">
        <v>102</v>
      </c>
      <c r="L15" s="26" t="n">
        <v>185</v>
      </c>
      <c r="M15" s="26" t="n">
        <v>185</v>
      </c>
      <c r="N15" s="26" t="n">
        <v>18870</v>
      </c>
      <c r="O15" s="26" t="n">
        <v>18870</v>
      </c>
      <c r="P15" s="26" t="n">
        <v>0</v>
      </c>
      <c r="Q15" s="21"/>
      <c r="R15" s="27" t="s">
        <v>63</v>
      </c>
      <c r="S15" s="21"/>
      <c r="T15" s="24" t="s">
        <v>64</v>
      </c>
    </row>
    <row r="16" customFormat="false" ht="15.75" hidden="false" customHeight="true" outlineLevel="0" collapsed="false">
      <c r="A16" s="28" t="s">
        <v>140</v>
      </c>
      <c r="B16" s="28" t="s">
        <v>141</v>
      </c>
      <c r="C16" s="28" t="s">
        <v>55</v>
      </c>
      <c r="D16" s="28" t="s">
        <v>108</v>
      </c>
      <c r="E16" s="28" t="s">
        <v>142</v>
      </c>
      <c r="F16" s="29" t="s">
        <v>143</v>
      </c>
      <c r="G16" s="28" t="s">
        <v>144</v>
      </c>
      <c r="H16" s="29" t="s">
        <v>145</v>
      </c>
      <c r="I16" s="29" t="s">
        <v>146</v>
      </c>
      <c r="J16" s="28" t="s">
        <v>83</v>
      </c>
      <c r="K16" s="30" t="n">
        <v>180</v>
      </c>
      <c r="L16" s="31" t="n">
        <v>320</v>
      </c>
      <c r="M16" s="31" t="n">
        <v>320</v>
      </c>
      <c r="N16" s="31" t="n">
        <v>57600</v>
      </c>
      <c r="O16" s="31" t="n">
        <v>57600</v>
      </c>
      <c r="P16" s="31" t="n">
        <v>0</v>
      </c>
      <c r="Q16" s="29"/>
      <c r="R16" s="32" t="s">
        <v>63</v>
      </c>
      <c r="S16" s="29"/>
      <c r="T16" s="28" t="s">
        <v>64</v>
      </c>
    </row>
    <row r="17" customFormat="false" ht="15.75" hidden="false" customHeight="true" outlineLevel="0" collapsed="false">
      <c r="A17" s="24" t="s">
        <v>147</v>
      </c>
      <c r="B17" s="24" t="s">
        <v>148</v>
      </c>
      <c r="C17" s="24" t="s">
        <v>55</v>
      </c>
      <c r="D17" s="24" t="s">
        <v>149</v>
      </c>
      <c r="E17" s="24" t="s">
        <v>75</v>
      </c>
      <c r="F17" s="21" t="s">
        <v>76</v>
      </c>
      <c r="G17" s="24" t="s">
        <v>77</v>
      </c>
      <c r="H17" s="21" t="s">
        <v>145</v>
      </c>
      <c r="I17" s="21" t="s">
        <v>146</v>
      </c>
      <c r="J17" s="24" t="s">
        <v>83</v>
      </c>
      <c r="K17" s="25" t="n">
        <v>13</v>
      </c>
      <c r="L17" s="26" t="n">
        <v>320</v>
      </c>
      <c r="M17" s="26" t="n">
        <v>320</v>
      </c>
      <c r="N17" s="26" t="n">
        <v>4160</v>
      </c>
      <c r="O17" s="26" t="n">
        <v>4160</v>
      </c>
      <c r="P17" s="26" t="n">
        <v>0</v>
      </c>
      <c r="Q17" s="21"/>
      <c r="R17" s="27" t="s">
        <v>63</v>
      </c>
      <c r="S17" s="21"/>
      <c r="T17" s="24" t="s">
        <v>64</v>
      </c>
    </row>
    <row r="18" customFormat="false" ht="15.75" hidden="false" customHeight="true" outlineLevel="0" collapsed="false">
      <c r="A18" s="28" t="s">
        <v>150</v>
      </c>
      <c r="B18" s="28" t="s">
        <v>151</v>
      </c>
      <c r="C18" s="28" t="s">
        <v>55</v>
      </c>
      <c r="D18" s="28" t="s">
        <v>56</v>
      </c>
      <c r="E18" s="28" t="s">
        <v>152</v>
      </c>
      <c r="F18" s="29" t="s">
        <v>153</v>
      </c>
      <c r="G18" s="28" t="s">
        <v>154</v>
      </c>
      <c r="H18" s="29" t="s">
        <v>121</v>
      </c>
      <c r="I18" s="29" t="s">
        <v>122</v>
      </c>
      <c r="J18" s="28" t="s">
        <v>123</v>
      </c>
      <c r="K18" s="30" t="n">
        <v>188</v>
      </c>
      <c r="L18" s="31" t="n">
        <v>62</v>
      </c>
      <c r="M18" s="31" t="n">
        <v>62</v>
      </c>
      <c r="N18" s="31" t="n">
        <v>11656</v>
      </c>
      <c r="O18" s="31" t="n">
        <v>11656</v>
      </c>
      <c r="P18" s="31" t="n">
        <v>0</v>
      </c>
      <c r="Q18" s="29"/>
      <c r="R18" s="32" t="s">
        <v>63</v>
      </c>
      <c r="S18" s="29"/>
      <c r="T18" s="28" t="s">
        <v>64</v>
      </c>
    </row>
    <row r="19" customFormat="false" ht="15.75" hidden="false" customHeight="true" outlineLevel="0" collapsed="false">
      <c r="A19" s="24" t="s">
        <v>155</v>
      </c>
      <c r="B19" s="24" t="s">
        <v>156</v>
      </c>
      <c r="C19" s="24" t="s">
        <v>73</v>
      </c>
      <c r="D19" s="24" t="s">
        <v>56</v>
      </c>
      <c r="E19" s="24" t="s">
        <v>109</v>
      </c>
      <c r="F19" s="21" t="s">
        <v>110</v>
      </c>
      <c r="G19" s="24" t="s">
        <v>111</v>
      </c>
      <c r="H19" s="21" t="s">
        <v>68</v>
      </c>
      <c r="I19" s="21" t="s">
        <v>69</v>
      </c>
      <c r="J19" s="24" t="s">
        <v>70</v>
      </c>
      <c r="K19" s="25" t="n">
        <v>122</v>
      </c>
      <c r="L19" s="26" t="n">
        <v>3.2</v>
      </c>
      <c r="M19" s="26" t="n">
        <v>3.2</v>
      </c>
      <c r="N19" s="26" t="n">
        <v>390.4</v>
      </c>
      <c r="O19" s="26" t="n">
        <v>390.4</v>
      </c>
      <c r="P19" s="26" t="n">
        <v>0</v>
      </c>
      <c r="Q19" s="21"/>
      <c r="R19" s="27" t="s">
        <v>63</v>
      </c>
      <c r="S19" s="21"/>
      <c r="T19" s="24" t="s">
        <v>64</v>
      </c>
    </row>
    <row r="20" customFormat="false" ht="15.75" hidden="false" customHeight="true" outlineLevel="0" collapsed="false">
      <c r="A20" s="28" t="s">
        <v>157</v>
      </c>
      <c r="B20" s="28" t="s">
        <v>158</v>
      </c>
      <c r="C20" s="28" t="s">
        <v>67</v>
      </c>
      <c r="D20" s="28" t="s">
        <v>80</v>
      </c>
      <c r="E20" s="28" t="s">
        <v>142</v>
      </c>
      <c r="F20" s="29" t="s">
        <v>143</v>
      </c>
      <c r="G20" s="28" t="s">
        <v>144</v>
      </c>
      <c r="H20" s="29" t="s">
        <v>81</v>
      </c>
      <c r="I20" s="29" t="s">
        <v>82</v>
      </c>
      <c r="J20" s="28" t="s">
        <v>83</v>
      </c>
      <c r="K20" s="30" t="n">
        <v>72</v>
      </c>
      <c r="L20" s="31" t="n">
        <v>38</v>
      </c>
      <c r="M20" s="31" t="n">
        <v>38</v>
      </c>
      <c r="N20" s="31" t="n">
        <v>2736</v>
      </c>
      <c r="O20" s="31" t="n">
        <v>2736</v>
      </c>
      <c r="P20" s="31" t="n">
        <v>0</v>
      </c>
      <c r="Q20" s="29"/>
      <c r="R20" s="32" t="s">
        <v>63</v>
      </c>
      <c r="S20" s="29"/>
      <c r="T20" s="28" t="s">
        <v>64</v>
      </c>
    </row>
    <row r="21" customFormat="false" ht="15.75" hidden="false" customHeight="true" outlineLevel="0" collapsed="false">
      <c r="A21" s="24" t="s">
        <v>159</v>
      </c>
      <c r="B21" s="24" t="s">
        <v>160</v>
      </c>
      <c r="C21" s="24" t="s">
        <v>73</v>
      </c>
      <c r="D21" s="24" t="s">
        <v>131</v>
      </c>
      <c r="E21" s="24" t="s">
        <v>109</v>
      </c>
      <c r="F21" s="21" t="s">
        <v>110</v>
      </c>
      <c r="G21" s="24" t="s">
        <v>111</v>
      </c>
      <c r="H21" s="21" t="s">
        <v>161</v>
      </c>
      <c r="I21" s="21" t="s">
        <v>162</v>
      </c>
      <c r="J21" s="24" t="s">
        <v>83</v>
      </c>
      <c r="K21" s="25" t="n">
        <v>61</v>
      </c>
      <c r="L21" s="26" t="n">
        <v>45</v>
      </c>
      <c r="M21" s="26" t="n">
        <v>45</v>
      </c>
      <c r="N21" s="26" t="n">
        <v>2745</v>
      </c>
      <c r="O21" s="26" t="n">
        <v>2745</v>
      </c>
      <c r="P21" s="26" t="n">
        <v>0</v>
      </c>
      <c r="Q21" s="21"/>
      <c r="R21" s="27" t="s">
        <v>63</v>
      </c>
      <c r="S21" s="21"/>
      <c r="T21" s="24" t="s">
        <v>64</v>
      </c>
    </row>
    <row r="22" customFormat="false" ht="15.75" hidden="false" customHeight="true" outlineLevel="0" collapsed="false">
      <c r="A22" s="28" t="s">
        <v>163</v>
      </c>
      <c r="B22" s="28" t="s">
        <v>164</v>
      </c>
      <c r="C22" s="28" t="s">
        <v>73</v>
      </c>
      <c r="D22" s="28" t="s">
        <v>165</v>
      </c>
      <c r="E22" s="28" t="s">
        <v>75</v>
      </c>
      <c r="F22" s="29" t="s">
        <v>76</v>
      </c>
      <c r="G22" s="28" t="s">
        <v>77</v>
      </c>
      <c r="H22" s="29" t="s">
        <v>112</v>
      </c>
      <c r="I22" s="29" t="s">
        <v>113</v>
      </c>
      <c r="J22" s="28" t="s">
        <v>83</v>
      </c>
      <c r="K22" s="30" t="n">
        <v>44</v>
      </c>
      <c r="L22" s="31" t="n">
        <v>245</v>
      </c>
      <c r="M22" s="31" t="n">
        <v>245</v>
      </c>
      <c r="N22" s="31" t="n">
        <v>10780</v>
      </c>
      <c r="O22" s="31" t="n">
        <v>10780</v>
      </c>
      <c r="P22" s="31" t="n">
        <v>0</v>
      </c>
      <c r="Q22" s="29"/>
      <c r="R22" s="32" t="s">
        <v>63</v>
      </c>
      <c r="S22" s="29"/>
      <c r="T22" s="28" t="s">
        <v>64</v>
      </c>
    </row>
    <row r="23" customFormat="false" ht="15.75" hidden="false" customHeight="true" outlineLevel="0" collapsed="false">
      <c r="A23" s="24" t="s">
        <v>166</v>
      </c>
      <c r="B23" s="24" t="s">
        <v>167</v>
      </c>
      <c r="C23" s="24" t="s">
        <v>104</v>
      </c>
      <c r="D23" s="24" t="s">
        <v>86</v>
      </c>
      <c r="E23" s="24" t="s">
        <v>87</v>
      </c>
      <c r="F23" s="21" t="s">
        <v>88</v>
      </c>
      <c r="G23" s="24" t="s">
        <v>89</v>
      </c>
      <c r="H23" s="21" t="s">
        <v>112</v>
      </c>
      <c r="I23" s="21" t="s">
        <v>113</v>
      </c>
      <c r="J23" s="24" t="s">
        <v>83</v>
      </c>
      <c r="K23" s="25" t="n">
        <v>103</v>
      </c>
      <c r="L23" s="26" t="n">
        <v>245</v>
      </c>
      <c r="M23" s="26" t="n">
        <v>245</v>
      </c>
      <c r="N23" s="26" t="n">
        <v>25235</v>
      </c>
      <c r="O23" s="26" t="n">
        <v>25235</v>
      </c>
      <c r="P23" s="26" t="n">
        <v>0</v>
      </c>
      <c r="Q23" s="21"/>
      <c r="R23" s="27" t="s">
        <v>63</v>
      </c>
      <c r="S23" s="21"/>
      <c r="T23" s="24" t="s">
        <v>64</v>
      </c>
    </row>
    <row r="24" customFormat="false" ht="15.75" hidden="false" customHeight="true" outlineLevel="0" collapsed="false">
      <c r="A24" s="28" t="s">
        <v>168</v>
      </c>
      <c r="B24" s="28" t="s">
        <v>169</v>
      </c>
      <c r="C24" s="28" t="s">
        <v>116</v>
      </c>
      <c r="D24" s="28" t="s">
        <v>80</v>
      </c>
      <c r="E24" s="28" t="s">
        <v>142</v>
      </c>
      <c r="F24" s="29" t="s">
        <v>143</v>
      </c>
      <c r="G24" s="28" t="s">
        <v>144</v>
      </c>
      <c r="H24" s="29" t="s">
        <v>90</v>
      </c>
      <c r="I24" s="29" t="s">
        <v>91</v>
      </c>
      <c r="J24" s="28" t="s">
        <v>70</v>
      </c>
      <c r="K24" s="30" t="n">
        <v>146</v>
      </c>
      <c r="L24" s="31" t="n">
        <v>8.75</v>
      </c>
      <c r="M24" s="31" t="n">
        <v>8.75</v>
      </c>
      <c r="N24" s="31" t="n">
        <v>1277.5</v>
      </c>
      <c r="O24" s="31" t="n">
        <v>1277.5</v>
      </c>
      <c r="P24" s="31" t="n">
        <v>0</v>
      </c>
      <c r="Q24" s="29"/>
      <c r="R24" s="32" t="s">
        <v>63</v>
      </c>
      <c r="S24" s="29"/>
      <c r="T24" s="28" t="s">
        <v>64</v>
      </c>
    </row>
    <row r="25" customFormat="false" ht="15.75" hidden="false" customHeight="true" outlineLevel="0" collapsed="false">
      <c r="A25" s="24" t="s">
        <v>170</v>
      </c>
      <c r="B25" s="24" t="s">
        <v>171</v>
      </c>
      <c r="C25" s="24" t="s">
        <v>55</v>
      </c>
      <c r="D25" s="24" t="s">
        <v>94</v>
      </c>
      <c r="E25" s="24" t="s">
        <v>142</v>
      </c>
      <c r="F25" s="21" t="s">
        <v>143</v>
      </c>
      <c r="G25" s="24" t="s">
        <v>144</v>
      </c>
      <c r="H25" s="21" t="s">
        <v>90</v>
      </c>
      <c r="I25" s="21" t="s">
        <v>91</v>
      </c>
      <c r="J25" s="24" t="s">
        <v>70</v>
      </c>
      <c r="K25" s="25" t="n">
        <v>169</v>
      </c>
      <c r="L25" s="26" t="n">
        <v>8.75</v>
      </c>
      <c r="M25" s="26" t="n">
        <v>8.75</v>
      </c>
      <c r="N25" s="26" t="n">
        <v>1478.75</v>
      </c>
      <c r="O25" s="26" t="n">
        <v>1478.75</v>
      </c>
      <c r="P25" s="26" t="n">
        <v>0</v>
      </c>
      <c r="Q25" s="21"/>
      <c r="R25" s="27" t="s">
        <v>63</v>
      </c>
      <c r="S25" s="21"/>
      <c r="T25" s="24" t="s">
        <v>64</v>
      </c>
    </row>
    <row r="26" customFormat="false" ht="15.75" hidden="false" customHeight="true" outlineLevel="0" collapsed="false">
      <c r="A26" s="28" t="s">
        <v>172</v>
      </c>
      <c r="B26" s="28" t="s">
        <v>173</v>
      </c>
      <c r="C26" s="28" t="s">
        <v>55</v>
      </c>
      <c r="D26" s="28" t="s">
        <v>80</v>
      </c>
      <c r="E26" s="28" t="s">
        <v>135</v>
      </c>
      <c r="F26" s="29" t="s">
        <v>136</v>
      </c>
      <c r="G26" s="28" t="s">
        <v>137</v>
      </c>
      <c r="H26" s="29" t="s">
        <v>138</v>
      </c>
      <c r="I26" s="29" t="s">
        <v>139</v>
      </c>
      <c r="J26" s="28" t="s">
        <v>83</v>
      </c>
      <c r="K26" s="30" t="n">
        <v>5</v>
      </c>
      <c r="L26" s="31" t="n">
        <v>185</v>
      </c>
      <c r="M26" s="31" t="n">
        <v>185</v>
      </c>
      <c r="N26" s="31" t="n">
        <v>925</v>
      </c>
      <c r="O26" s="31" t="n">
        <v>925</v>
      </c>
      <c r="P26" s="31" t="n">
        <v>0</v>
      </c>
      <c r="Q26" s="29"/>
      <c r="R26" s="32" t="s">
        <v>63</v>
      </c>
      <c r="S26" s="29"/>
      <c r="T26" s="28" t="s">
        <v>64</v>
      </c>
    </row>
    <row r="27" customFormat="false" ht="15.75" hidden="false" customHeight="true" outlineLevel="0" collapsed="false">
      <c r="A27" s="24" t="s">
        <v>174</v>
      </c>
      <c r="B27" s="24" t="s">
        <v>175</v>
      </c>
      <c r="C27" s="24" t="s">
        <v>55</v>
      </c>
      <c r="D27" s="24" t="s">
        <v>108</v>
      </c>
      <c r="E27" s="24" t="s">
        <v>142</v>
      </c>
      <c r="F27" s="21" t="s">
        <v>143</v>
      </c>
      <c r="G27" s="24" t="s">
        <v>144</v>
      </c>
      <c r="H27" s="21" t="s">
        <v>112</v>
      </c>
      <c r="I27" s="21" t="s">
        <v>113</v>
      </c>
      <c r="J27" s="24" t="s">
        <v>83</v>
      </c>
      <c r="K27" s="25" t="n">
        <v>165</v>
      </c>
      <c r="L27" s="26" t="n">
        <v>245</v>
      </c>
      <c r="M27" s="26" t="n">
        <v>245</v>
      </c>
      <c r="N27" s="26" t="n">
        <v>40425</v>
      </c>
      <c r="O27" s="26" t="n">
        <v>40425</v>
      </c>
      <c r="P27" s="26" t="n">
        <v>0</v>
      </c>
      <c r="Q27" s="21"/>
      <c r="R27" s="27" t="s">
        <v>63</v>
      </c>
      <c r="S27" s="21"/>
      <c r="T27" s="24" t="s">
        <v>64</v>
      </c>
    </row>
    <row r="28" customFormat="false" ht="15.75" hidden="false" customHeight="true" outlineLevel="0" collapsed="false">
      <c r="A28" s="28" t="s">
        <v>176</v>
      </c>
      <c r="B28" s="28" t="s">
        <v>177</v>
      </c>
      <c r="C28" s="28" t="s">
        <v>178</v>
      </c>
      <c r="D28" s="28" t="s">
        <v>179</v>
      </c>
      <c r="E28" s="28" t="s">
        <v>87</v>
      </c>
      <c r="F28" s="29" t="s">
        <v>88</v>
      </c>
      <c r="G28" s="28" t="s">
        <v>89</v>
      </c>
      <c r="H28" s="29" t="s">
        <v>145</v>
      </c>
      <c r="I28" s="29" t="s">
        <v>146</v>
      </c>
      <c r="J28" s="28" t="s">
        <v>83</v>
      </c>
      <c r="K28" s="30" t="n">
        <v>44</v>
      </c>
      <c r="L28" s="31" t="n">
        <v>320</v>
      </c>
      <c r="M28" s="31" t="n">
        <v>320</v>
      </c>
      <c r="N28" s="31" t="n">
        <v>14080</v>
      </c>
      <c r="O28" s="31" t="n">
        <v>14080</v>
      </c>
      <c r="P28" s="31" t="n">
        <v>0</v>
      </c>
      <c r="Q28" s="29"/>
      <c r="R28" s="32" t="s">
        <v>63</v>
      </c>
      <c r="S28" s="29"/>
      <c r="T28" s="28" t="s">
        <v>180</v>
      </c>
    </row>
    <row r="29" customFormat="false" ht="15.75" hidden="false" customHeight="true" outlineLevel="0" collapsed="false">
      <c r="A29" s="33" t="s">
        <v>181</v>
      </c>
      <c r="B29" s="33" t="s">
        <v>182</v>
      </c>
      <c r="C29" s="33" t="s">
        <v>178</v>
      </c>
      <c r="D29" s="33" t="s">
        <v>134</v>
      </c>
      <c r="E29" s="33" t="s">
        <v>142</v>
      </c>
      <c r="F29" s="34" t="s">
        <v>143</v>
      </c>
      <c r="G29" s="33" t="s">
        <v>144</v>
      </c>
      <c r="H29" s="34" t="s">
        <v>60</v>
      </c>
      <c r="I29" s="34" t="s">
        <v>61</v>
      </c>
      <c r="J29" s="33" t="s">
        <v>62</v>
      </c>
      <c r="K29" s="35" t="n">
        <v>158</v>
      </c>
      <c r="L29" s="36" t="n">
        <v>14.89</v>
      </c>
      <c r="M29" s="36" t="n">
        <v>12.5</v>
      </c>
      <c r="N29" s="36" t="n">
        <v>2352.62</v>
      </c>
      <c r="O29" s="36" t="n">
        <v>1975</v>
      </c>
      <c r="P29" s="36" t="n">
        <v>377.62</v>
      </c>
      <c r="Q29" s="34" t="s">
        <v>183</v>
      </c>
      <c r="R29" s="37" t="s">
        <v>101</v>
      </c>
      <c r="S29" s="34"/>
      <c r="T29" s="33" t="s">
        <v>180</v>
      </c>
    </row>
    <row r="30" customFormat="false" ht="15.75" hidden="false" customHeight="true" outlineLevel="0" collapsed="false">
      <c r="A30" s="28" t="s">
        <v>184</v>
      </c>
      <c r="B30" s="28" t="s">
        <v>185</v>
      </c>
      <c r="C30" s="28" t="s">
        <v>117</v>
      </c>
      <c r="D30" s="28" t="s">
        <v>149</v>
      </c>
      <c r="E30" s="28" t="s">
        <v>75</v>
      </c>
      <c r="F30" s="29" t="s">
        <v>76</v>
      </c>
      <c r="G30" s="28" t="s">
        <v>77</v>
      </c>
      <c r="H30" s="29" t="s">
        <v>145</v>
      </c>
      <c r="I30" s="29" t="s">
        <v>146</v>
      </c>
      <c r="J30" s="28" t="s">
        <v>83</v>
      </c>
      <c r="K30" s="30" t="n">
        <v>150</v>
      </c>
      <c r="L30" s="31" t="n">
        <v>320</v>
      </c>
      <c r="M30" s="31" t="n">
        <v>320</v>
      </c>
      <c r="N30" s="31" t="n">
        <v>48000</v>
      </c>
      <c r="O30" s="31" t="n">
        <v>48000</v>
      </c>
      <c r="P30" s="31" t="n">
        <v>0</v>
      </c>
      <c r="Q30" s="29"/>
      <c r="R30" s="32" t="s">
        <v>63</v>
      </c>
      <c r="S30" s="29"/>
      <c r="T30" s="28" t="s">
        <v>180</v>
      </c>
    </row>
    <row r="31" customFormat="false" ht="15.75" hidden="false" customHeight="true" outlineLevel="0" collapsed="false">
      <c r="A31" s="24" t="s">
        <v>186</v>
      </c>
      <c r="B31" s="24" t="s">
        <v>187</v>
      </c>
      <c r="C31" s="24" t="s">
        <v>188</v>
      </c>
      <c r="D31" s="24" t="s">
        <v>189</v>
      </c>
      <c r="E31" s="24" t="s">
        <v>57</v>
      </c>
      <c r="F31" s="21" t="s">
        <v>58</v>
      </c>
      <c r="G31" s="24" t="s">
        <v>59</v>
      </c>
      <c r="H31" s="21" t="s">
        <v>81</v>
      </c>
      <c r="I31" s="21" t="s">
        <v>82</v>
      </c>
      <c r="J31" s="24" t="s">
        <v>83</v>
      </c>
      <c r="K31" s="25" t="n">
        <v>37</v>
      </c>
      <c r="L31" s="26" t="n">
        <v>38</v>
      </c>
      <c r="M31" s="26" t="n">
        <v>38</v>
      </c>
      <c r="N31" s="26" t="n">
        <v>1406</v>
      </c>
      <c r="O31" s="26" t="n">
        <v>1406</v>
      </c>
      <c r="P31" s="26" t="n">
        <v>0</v>
      </c>
      <c r="Q31" s="21"/>
      <c r="R31" s="27" t="s">
        <v>63</v>
      </c>
      <c r="S31" s="21"/>
      <c r="T31" s="24" t="s">
        <v>180</v>
      </c>
    </row>
    <row r="32" customFormat="false" ht="15.75" hidden="false" customHeight="true" outlineLevel="0" collapsed="false">
      <c r="A32" s="28" t="s">
        <v>190</v>
      </c>
      <c r="B32" s="28" t="s">
        <v>191</v>
      </c>
      <c r="C32" s="28" t="s">
        <v>74</v>
      </c>
      <c r="D32" s="28" t="s">
        <v>192</v>
      </c>
      <c r="E32" s="28" t="s">
        <v>142</v>
      </c>
      <c r="F32" s="29" t="s">
        <v>143</v>
      </c>
      <c r="G32" s="28" t="s">
        <v>144</v>
      </c>
      <c r="H32" s="29" t="s">
        <v>98</v>
      </c>
      <c r="I32" s="29" t="s">
        <v>99</v>
      </c>
      <c r="J32" s="28" t="s">
        <v>83</v>
      </c>
      <c r="K32" s="30" t="n">
        <v>72</v>
      </c>
      <c r="L32" s="31" t="n">
        <v>189</v>
      </c>
      <c r="M32" s="31" t="n">
        <v>189</v>
      </c>
      <c r="N32" s="31" t="n">
        <v>13608</v>
      </c>
      <c r="O32" s="31" t="n">
        <v>13608</v>
      </c>
      <c r="P32" s="31" t="n">
        <v>0</v>
      </c>
      <c r="Q32" s="29"/>
      <c r="R32" s="32" t="s">
        <v>63</v>
      </c>
      <c r="S32" s="29"/>
      <c r="T32" s="28" t="s">
        <v>180</v>
      </c>
    </row>
    <row r="33" customFormat="false" ht="15.75" hidden="false" customHeight="true" outlineLevel="0" collapsed="false">
      <c r="A33" s="24" t="s">
        <v>193</v>
      </c>
      <c r="B33" s="24" t="s">
        <v>194</v>
      </c>
      <c r="C33" s="24" t="s">
        <v>188</v>
      </c>
      <c r="D33" s="24" t="s">
        <v>195</v>
      </c>
      <c r="E33" s="24" t="s">
        <v>152</v>
      </c>
      <c r="F33" s="21" t="s">
        <v>153</v>
      </c>
      <c r="G33" s="24" t="s">
        <v>154</v>
      </c>
      <c r="H33" s="21" t="s">
        <v>81</v>
      </c>
      <c r="I33" s="21" t="s">
        <v>82</v>
      </c>
      <c r="J33" s="24" t="s">
        <v>83</v>
      </c>
      <c r="K33" s="25" t="n">
        <v>198</v>
      </c>
      <c r="L33" s="26" t="n">
        <v>38</v>
      </c>
      <c r="M33" s="26" t="n">
        <v>38</v>
      </c>
      <c r="N33" s="26" t="n">
        <v>7524</v>
      </c>
      <c r="O33" s="26" t="n">
        <v>7524</v>
      </c>
      <c r="P33" s="26" t="n">
        <v>0</v>
      </c>
      <c r="Q33" s="21"/>
      <c r="R33" s="27" t="s">
        <v>63</v>
      </c>
      <c r="S33" s="21"/>
      <c r="T33" s="24" t="s">
        <v>180</v>
      </c>
    </row>
    <row r="34" customFormat="false" ht="15.75" hidden="false" customHeight="true" outlineLevel="0" collapsed="false">
      <c r="A34" s="28" t="s">
        <v>196</v>
      </c>
      <c r="B34" s="28" t="s">
        <v>197</v>
      </c>
      <c r="C34" s="28" t="s">
        <v>94</v>
      </c>
      <c r="D34" s="28" t="s">
        <v>105</v>
      </c>
      <c r="E34" s="28" t="s">
        <v>118</v>
      </c>
      <c r="F34" s="29" t="s">
        <v>119</v>
      </c>
      <c r="G34" s="28" t="s">
        <v>120</v>
      </c>
      <c r="H34" s="29" t="s">
        <v>138</v>
      </c>
      <c r="I34" s="29" t="s">
        <v>139</v>
      </c>
      <c r="J34" s="28" t="s">
        <v>83</v>
      </c>
      <c r="K34" s="30" t="n">
        <v>137</v>
      </c>
      <c r="L34" s="31" t="n">
        <v>185</v>
      </c>
      <c r="M34" s="31" t="n">
        <v>185</v>
      </c>
      <c r="N34" s="31" t="n">
        <v>25345</v>
      </c>
      <c r="O34" s="31" t="n">
        <v>25345</v>
      </c>
      <c r="P34" s="31" t="n">
        <v>0</v>
      </c>
      <c r="Q34" s="29"/>
      <c r="R34" s="32" t="s">
        <v>63</v>
      </c>
      <c r="S34" s="29"/>
      <c r="T34" s="28" t="s">
        <v>180</v>
      </c>
    </row>
    <row r="35" customFormat="false" ht="15.75" hidden="false" customHeight="true" outlineLevel="0" collapsed="false">
      <c r="A35" s="24" t="s">
        <v>198</v>
      </c>
      <c r="B35" s="24" t="s">
        <v>199</v>
      </c>
      <c r="C35" s="24" t="s">
        <v>74</v>
      </c>
      <c r="D35" s="24" t="s">
        <v>195</v>
      </c>
      <c r="E35" s="24" t="s">
        <v>57</v>
      </c>
      <c r="F35" s="21" t="s">
        <v>58</v>
      </c>
      <c r="G35" s="24" t="s">
        <v>59</v>
      </c>
      <c r="H35" s="21" t="s">
        <v>161</v>
      </c>
      <c r="I35" s="21" t="s">
        <v>162</v>
      </c>
      <c r="J35" s="24" t="s">
        <v>83</v>
      </c>
      <c r="K35" s="25" t="n">
        <v>10</v>
      </c>
      <c r="L35" s="26" t="n">
        <v>45</v>
      </c>
      <c r="M35" s="26" t="n">
        <v>45</v>
      </c>
      <c r="N35" s="26" t="n">
        <v>450</v>
      </c>
      <c r="O35" s="26" t="n">
        <v>450</v>
      </c>
      <c r="P35" s="26" t="n">
        <v>0</v>
      </c>
      <c r="Q35" s="21"/>
      <c r="R35" s="27" t="s">
        <v>63</v>
      </c>
      <c r="S35" s="21"/>
      <c r="T35" s="24" t="s">
        <v>180</v>
      </c>
    </row>
    <row r="36" customFormat="false" ht="15.75" hidden="false" customHeight="true" outlineLevel="0" collapsed="false">
      <c r="A36" s="33" t="s">
        <v>200</v>
      </c>
      <c r="B36" s="33" t="s">
        <v>201</v>
      </c>
      <c r="C36" s="33" t="s">
        <v>117</v>
      </c>
      <c r="D36" s="33" t="s">
        <v>80</v>
      </c>
      <c r="E36" s="33" t="s">
        <v>152</v>
      </c>
      <c r="F36" s="34" t="s">
        <v>153</v>
      </c>
      <c r="G36" s="33" t="s">
        <v>154</v>
      </c>
      <c r="H36" s="34" t="s">
        <v>60</v>
      </c>
      <c r="I36" s="34" t="s">
        <v>61</v>
      </c>
      <c r="J36" s="33" t="s">
        <v>62</v>
      </c>
      <c r="K36" s="35" t="n">
        <v>23</v>
      </c>
      <c r="L36" s="36" t="n">
        <v>13.55</v>
      </c>
      <c r="M36" s="36" t="n">
        <v>12.5</v>
      </c>
      <c r="N36" s="36" t="n">
        <v>311.65</v>
      </c>
      <c r="O36" s="36" t="n">
        <v>287.5</v>
      </c>
      <c r="P36" s="36" t="n">
        <v>24.15</v>
      </c>
      <c r="Q36" s="34" t="s">
        <v>202</v>
      </c>
      <c r="R36" s="37" t="s">
        <v>101</v>
      </c>
      <c r="S36" s="34"/>
      <c r="T36" s="33" t="s">
        <v>180</v>
      </c>
    </row>
    <row r="37" customFormat="false" ht="15.75" hidden="false" customHeight="true" outlineLevel="0" collapsed="false">
      <c r="A37" s="24" t="s">
        <v>203</v>
      </c>
      <c r="B37" s="24" t="s">
        <v>204</v>
      </c>
      <c r="C37" s="24" t="s">
        <v>94</v>
      </c>
      <c r="D37" s="24" t="s">
        <v>165</v>
      </c>
      <c r="E37" s="24" t="s">
        <v>142</v>
      </c>
      <c r="F37" s="21" t="s">
        <v>143</v>
      </c>
      <c r="G37" s="24" t="s">
        <v>144</v>
      </c>
      <c r="H37" s="21" t="s">
        <v>145</v>
      </c>
      <c r="I37" s="21" t="s">
        <v>146</v>
      </c>
      <c r="J37" s="24" t="s">
        <v>83</v>
      </c>
      <c r="K37" s="25" t="n">
        <v>76</v>
      </c>
      <c r="L37" s="26" t="n">
        <v>320</v>
      </c>
      <c r="M37" s="26" t="n">
        <v>320</v>
      </c>
      <c r="N37" s="26" t="n">
        <v>24320</v>
      </c>
      <c r="O37" s="26" t="n">
        <v>24320</v>
      </c>
      <c r="P37" s="26" t="n">
        <v>0</v>
      </c>
      <c r="Q37" s="21"/>
      <c r="R37" s="27" t="s">
        <v>63</v>
      </c>
      <c r="S37" s="21"/>
      <c r="T37" s="24" t="s">
        <v>180</v>
      </c>
    </row>
    <row r="38" customFormat="false" ht="15.75" hidden="false" customHeight="true" outlineLevel="0" collapsed="false">
      <c r="A38" s="28" t="s">
        <v>205</v>
      </c>
      <c r="B38" s="28" t="s">
        <v>206</v>
      </c>
      <c r="C38" s="28" t="s">
        <v>188</v>
      </c>
      <c r="D38" s="28" t="s">
        <v>207</v>
      </c>
      <c r="E38" s="28" t="s">
        <v>87</v>
      </c>
      <c r="F38" s="29" t="s">
        <v>88</v>
      </c>
      <c r="G38" s="28" t="s">
        <v>89</v>
      </c>
      <c r="H38" s="29" t="s">
        <v>121</v>
      </c>
      <c r="I38" s="29" t="s">
        <v>122</v>
      </c>
      <c r="J38" s="28" t="s">
        <v>123</v>
      </c>
      <c r="K38" s="30" t="n">
        <v>126</v>
      </c>
      <c r="L38" s="31" t="n">
        <v>62</v>
      </c>
      <c r="M38" s="31" t="n">
        <v>62</v>
      </c>
      <c r="N38" s="31" t="n">
        <v>7812</v>
      </c>
      <c r="O38" s="31" t="n">
        <v>7812</v>
      </c>
      <c r="P38" s="31" t="n">
        <v>0</v>
      </c>
      <c r="Q38" s="29"/>
      <c r="R38" s="32" t="s">
        <v>63</v>
      </c>
      <c r="S38" s="29"/>
      <c r="T38" s="28" t="s">
        <v>180</v>
      </c>
    </row>
    <row r="39" customFormat="false" ht="15.75" hidden="false" customHeight="true" outlineLevel="0" collapsed="false">
      <c r="A39" s="24" t="s">
        <v>208</v>
      </c>
      <c r="B39" s="24" t="s">
        <v>209</v>
      </c>
      <c r="C39" s="24" t="s">
        <v>117</v>
      </c>
      <c r="D39" s="24" t="s">
        <v>210</v>
      </c>
      <c r="E39" s="24" t="s">
        <v>109</v>
      </c>
      <c r="F39" s="21" t="s">
        <v>110</v>
      </c>
      <c r="G39" s="24" t="s">
        <v>111</v>
      </c>
      <c r="H39" s="21" t="s">
        <v>145</v>
      </c>
      <c r="I39" s="21" t="s">
        <v>146</v>
      </c>
      <c r="J39" s="24" t="s">
        <v>83</v>
      </c>
      <c r="K39" s="25" t="n">
        <v>29</v>
      </c>
      <c r="L39" s="26" t="n">
        <v>320</v>
      </c>
      <c r="M39" s="26" t="n">
        <v>320</v>
      </c>
      <c r="N39" s="26" t="n">
        <v>9280</v>
      </c>
      <c r="O39" s="26" t="n">
        <v>9280</v>
      </c>
      <c r="P39" s="26" t="n">
        <v>0</v>
      </c>
      <c r="Q39" s="21"/>
      <c r="R39" s="27" t="s">
        <v>63</v>
      </c>
      <c r="S39" s="21"/>
      <c r="T39" s="24" t="s">
        <v>180</v>
      </c>
    </row>
    <row r="40" customFormat="false" ht="15.75" hidden="false" customHeight="true" outlineLevel="0" collapsed="false">
      <c r="A40" s="28" t="s">
        <v>211</v>
      </c>
      <c r="B40" s="28" t="s">
        <v>212</v>
      </c>
      <c r="C40" s="28" t="s">
        <v>117</v>
      </c>
      <c r="D40" s="28" t="s">
        <v>210</v>
      </c>
      <c r="E40" s="28" t="s">
        <v>109</v>
      </c>
      <c r="F40" s="29" t="s">
        <v>110</v>
      </c>
      <c r="G40" s="28" t="s">
        <v>111</v>
      </c>
      <c r="H40" s="29" t="s">
        <v>213</v>
      </c>
      <c r="I40" s="29" t="s">
        <v>214</v>
      </c>
      <c r="J40" s="28" t="s">
        <v>83</v>
      </c>
      <c r="K40" s="30" t="n">
        <v>124</v>
      </c>
      <c r="L40" s="31" t="n">
        <v>560</v>
      </c>
      <c r="M40" s="31" t="n">
        <v>560</v>
      </c>
      <c r="N40" s="31" t="n">
        <v>69440</v>
      </c>
      <c r="O40" s="31" t="n">
        <v>69440</v>
      </c>
      <c r="P40" s="31" t="n">
        <v>0</v>
      </c>
      <c r="Q40" s="29"/>
      <c r="R40" s="32" t="s">
        <v>63</v>
      </c>
      <c r="S40" s="29"/>
      <c r="T40" s="28" t="s">
        <v>180</v>
      </c>
    </row>
    <row r="41" customFormat="false" ht="15.75" hidden="false" customHeight="true" outlineLevel="0" collapsed="false">
      <c r="A41" s="24" t="s">
        <v>215</v>
      </c>
      <c r="B41" s="24" t="s">
        <v>216</v>
      </c>
      <c r="C41" s="24" t="s">
        <v>178</v>
      </c>
      <c r="D41" s="24" t="s">
        <v>179</v>
      </c>
      <c r="E41" s="24" t="s">
        <v>57</v>
      </c>
      <c r="F41" s="21" t="s">
        <v>58</v>
      </c>
      <c r="G41" s="24" t="s">
        <v>59</v>
      </c>
      <c r="H41" s="21" t="s">
        <v>60</v>
      </c>
      <c r="I41" s="21" t="s">
        <v>61</v>
      </c>
      <c r="J41" s="24" t="s">
        <v>62</v>
      </c>
      <c r="K41" s="25" t="n">
        <v>108</v>
      </c>
      <c r="L41" s="26" t="n">
        <v>12.5</v>
      </c>
      <c r="M41" s="26" t="n">
        <v>12.5</v>
      </c>
      <c r="N41" s="26" t="n">
        <v>1350</v>
      </c>
      <c r="O41" s="26" t="n">
        <v>1350</v>
      </c>
      <c r="P41" s="26" t="n">
        <v>0</v>
      </c>
      <c r="Q41" s="21"/>
      <c r="R41" s="27" t="s">
        <v>63</v>
      </c>
      <c r="S41" s="21"/>
      <c r="T41" s="24" t="s">
        <v>180</v>
      </c>
    </row>
    <row r="42" customFormat="false" ht="15.75" hidden="false" customHeight="true" outlineLevel="0" collapsed="false">
      <c r="A42" s="28" t="s">
        <v>217</v>
      </c>
      <c r="B42" s="28" t="s">
        <v>218</v>
      </c>
      <c r="C42" s="28" t="s">
        <v>74</v>
      </c>
      <c r="D42" s="28" t="s">
        <v>189</v>
      </c>
      <c r="E42" s="28" t="s">
        <v>152</v>
      </c>
      <c r="F42" s="29" t="s">
        <v>153</v>
      </c>
      <c r="G42" s="28" t="s">
        <v>154</v>
      </c>
      <c r="H42" s="29" t="s">
        <v>145</v>
      </c>
      <c r="I42" s="29" t="s">
        <v>146</v>
      </c>
      <c r="J42" s="28" t="s">
        <v>83</v>
      </c>
      <c r="K42" s="30" t="n">
        <v>53</v>
      </c>
      <c r="L42" s="31" t="n">
        <v>320</v>
      </c>
      <c r="M42" s="31" t="n">
        <v>320</v>
      </c>
      <c r="N42" s="31" t="n">
        <v>16960</v>
      </c>
      <c r="O42" s="31" t="n">
        <v>16960</v>
      </c>
      <c r="P42" s="31" t="n">
        <v>0</v>
      </c>
      <c r="Q42" s="29"/>
      <c r="R42" s="32" t="s">
        <v>63</v>
      </c>
      <c r="S42" s="29"/>
      <c r="T42" s="28" t="s">
        <v>180</v>
      </c>
    </row>
    <row r="43" customFormat="false" ht="15.75" hidden="false" customHeight="true" outlineLevel="0" collapsed="false">
      <c r="A43" s="24" t="s">
        <v>219</v>
      </c>
      <c r="B43" s="24" t="s">
        <v>220</v>
      </c>
      <c r="C43" s="24" t="s">
        <v>188</v>
      </c>
      <c r="D43" s="24" t="s">
        <v>179</v>
      </c>
      <c r="E43" s="24" t="s">
        <v>135</v>
      </c>
      <c r="F43" s="21" t="s">
        <v>136</v>
      </c>
      <c r="G43" s="24" t="s">
        <v>137</v>
      </c>
      <c r="H43" s="21" t="s">
        <v>90</v>
      </c>
      <c r="I43" s="21" t="s">
        <v>91</v>
      </c>
      <c r="J43" s="24" t="s">
        <v>70</v>
      </c>
      <c r="K43" s="25" t="n">
        <v>123</v>
      </c>
      <c r="L43" s="26" t="n">
        <v>8.75</v>
      </c>
      <c r="M43" s="26" t="n">
        <v>8.75</v>
      </c>
      <c r="N43" s="26" t="n">
        <v>1076.25</v>
      </c>
      <c r="O43" s="26" t="n">
        <v>1076.25</v>
      </c>
      <c r="P43" s="26" t="n">
        <v>0</v>
      </c>
      <c r="Q43" s="21"/>
      <c r="R43" s="27" t="s">
        <v>63</v>
      </c>
      <c r="S43" s="21"/>
      <c r="T43" s="24" t="s">
        <v>180</v>
      </c>
    </row>
    <row r="44" customFormat="false" ht="15.75" hidden="false" customHeight="true" outlineLevel="0" collapsed="false">
      <c r="A44" s="28" t="s">
        <v>221</v>
      </c>
      <c r="B44" s="28" t="s">
        <v>222</v>
      </c>
      <c r="C44" s="28" t="s">
        <v>117</v>
      </c>
      <c r="D44" s="28" t="s">
        <v>210</v>
      </c>
      <c r="E44" s="28" t="s">
        <v>223</v>
      </c>
      <c r="F44" s="29" t="s">
        <v>224</v>
      </c>
      <c r="G44" s="28" t="s">
        <v>225</v>
      </c>
      <c r="H44" s="29" t="s">
        <v>81</v>
      </c>
      <c r="I44" s="29" t="s">
        <v>82</v>
      </c>
      <c r="J44" s="28" t="s">
        <v>83</v>
      </c>
      <c r="K44" s="30" t="n">
        <v>30</v>
      </c>
      <c r="L44" s="31" t="n">
        <v>38</v>
      </c>
      <c r="M44" s="31" t="n">
        <v>38</v>
      </c>
      <c r="N44" s="31" t="n">
        <v>1140</v>
      </c>
      <c r="O44" s="31" t="n">
        <v>1140</v>
      </c>
      <c r="P44" s="31" t="n">
        <v>0</v>
      </c>
      <c r="Q44" s="29"/>
      <c r="R44" s="32" t="s">
        <v>63</v>
      </c>
      <c r="S44" s="29"/>
      <c r="T44" s="28" t="s">
        <v>180</v>
      </c>
    </row>
    <row r="45" customFormat="false" ht="15.75" hidden="false" customHeight="true" outlineLevel="0" collapsed="false">
      <c r="A45" s="24" t="s">
        <v>226</v>
      </c>
      <c r="B45" s="24" t="s">
        <v>227</v>
      </c>
      <c r="C45" s="24" t="s">
        <v>188</v>
      </c>
      <c r="D45" s="24" t="s">
        <v>80</v>
      </c>
      <c r="E45" s="24" t="s">
        <v>75</v>
      </c>
      <c r="F45" s="21" t="s">
        <v>76</v>
      </c>
      <c r="G45" s="24" t="s">
        <v>77</v>
      </c>
      <c r="H45" s="21" t="s">
        <v>112</v>
      </c>
      <c r="I45" s="21" t="s">
        <v>113</v>
      </c>
      <c r="J45" s="24" t="s">
        <v>83</v>
      </c>
      <c r="K45" s="25" t="n">
        <v>197</v>
      </c>
      <c r="L45" s="26" t="n">
        <v>245</v>
      </c>
      <c r="M45" s="26" t="n">
        <v>245</v>
      </c>
      <c r="N45" s="26" t="n">
        <v>48265</v>
      </c>
      <c r="O45" s="26" t="n">
        <v>48265</v>
      </c>
      <c r="P45" s="26" t="n">
        <v>0</v>
      </c>
      <c r="Q45" s="21"/>
      <c r="R45" s="27" t="s">
        <v>63</v>
      </c>
      <c r="S45" s="21"/>
      <c r="T45" s="24" t="s">
        <v>180</v>
      </c>
    </row>
    <row r="46" customFormat="false" ht="15.75" hidden="false" customHeight="true" outlineLevel="0" collapsed="false">
      <c r="A46" s="28" t="s">
        <v>228</v>
      </c>
      <c r="B46" s="28" t="s">
        <v>229</v>
      </c>
      <c r="C46" s="28" t="s">
        <v>117</v>
      </c>
      <c r="D46" s="28" t="s">
        <v>131</v>
      </c>
      <c r="E46" s="28" t="s">
        <v>223</v>
      </c>
      <c r="F46" s="29" t="s">
        <v>224</v>
      </c>
      <c r="G46" s="28" t="s">
        <v>225</v>
      </c>
      <c r="H46" s="29" t="s">
        <v>145</v>
      </c>
      <c r="I46" s="29" t="s">
        <v>146</v>
      </c>
      <c r="J46" s="28" t="s">
        <v>83</v>
      </c>
      <c r="K46" s="30" t="n">
        <v>107</v>
      </c>
      <c r="L46" s="31" t="n">
        <v>320</v>
      </c>
      <c r="M46" s="31" t="n">
        <v>320</v>
      </c>
      <c r="N46" s="31" t="n">
        <v>34240</v>
      </c>
      <c r="O46" s="31" t="n">
        <v>34240</v>
      </c>
      <c r="P46" s="31" t="n">
        <v>0</v>
      </c>
      <c r="Q46" s="29"/>
      <c r="R46" s="32" t="s">
        <v>63</v>
      </c>
      <c r="S46" s="29"/>
      <c r="T46" s="28" t="s">
        <v>180</v>
      </c>
    </row>
    <row r="47" customFormat="false" ht="15.75" hidden="false" customHeight="true" outlineLevel="0" collapsed="false">
      <c r="A47" s="24" t="s">
        <v>230</v>
      </c>
      <c r="B47" s="24" t="s">
        <v>231</v>
      </c>
      <c r="C47" s="24" t="s">
        <v>178</v>
      </c>
      <c r="D47" s="24" t="s">
        <v>108</v>
      </c>
      <c r="E47" s="24" t="s">
        <v>109</v>
      </c>
      <c r="F47" s="21" t="s">
        <v>110</v>
      </c>
      <c r="G47" s="24" t="s">
        <v>111</v>
      </c>
      <c r="H47" s="21" t="s">
        <v>90</v>
      </c>
      <c r="I47" s="21" t="s">
        <v>91</v>
      </c>
      <c r="J47" s="24" t="s">
        <v>70</v>
      </c>
      <c r="K47" s="25" t="n">
        <v>121</v>
      </c>
      <c r="L47" s="26" t="n">
        <v>8.75</v>
      </c>
      <c r="M47" s="26" t="n">
        <v>8.75</v>
      </c>
      <c r="N47" s="26" t="n">
        <v>1058.75</v>
      </c>
      <c r="O47" s="26" t="n">
        <v>1058.75</v>
      </c>
      <c r="P47" s="26" t="n">
        <v>0</v>
      </c>
      <c r="Q47" s="21"/>
      <c r="R47" s="27" t="s">
        <v>63</v>
      </c>
      <c r="S47" s="21"/>
      <c r="T47" s="24" t="s">
        <v>180</v>
      </c>
    </row>
    <row r="48" customFormat="false" ht="15.75" hidden="false" customHeight="true" outlineLevel="0" collapsed="false">
      <c r="A48" s="28" t="s">
        <v>232</v>
      </c>
      <c r="B48" s="28" t="s">
        <v>233</v>
      </c>
      <c r="C48" s="28" t="s">
        <v>94</v>
      </c>
      <c r="D48" s="28" t="s">
        <v>86</v>
      </c>
      <c r="E48" s="28" t="s">
        <v>142</v>
      </c>
      <c r="F48" s="29" t="s">
        <v>143</v>
      </c>
      <c r="G48" s="28" t="s">
        <v>144</v>
      </c>
      <c r="H48" s="29" t="s">
        <v>68</v>
      </c>
      <c r="I48" s="29" t="s">
        <v>69</v>
      </c>
      <c r="J48" s="28" t="s">
        <v>70</v>
      </c>
      <c r="K48" s="30" t="n">
        <v>188</v>
      </c>
      <c r="L48" s="31" t="n">
        <v>3.2</v>
      </c>
      <c r="M48" s="31" t="n">
        <v>3.2</v>
      </c>
      <c r="N48" s="31" t="n">
        <v>601.6</v>
      </c>
      <c r="O48" s="31" t="n">
        <v>601.6</v>
      </c>
      <c r="P48" s="31" t="n">
        <v>0</v>
      </c>
      <c r="Q48" s="29"/>
      <c r="R48" s="32" t="s">
        <v>63</v>
      </c>
      <c r="S48" s="29"/>
      <c r="T48" s="28" t="s">
        <v>180</v>
      </c>
    </row>
    <row r="49" customFormat="false" ht="15.75" hidden="false" customHeight="true" outlineLevel="0" collapsed="false">
      <c r="A49" s="24" t="s">
        <v>234</v>
      </c>
      <c r="B49" s="24" t="s">
        <v>235</v>
      </c>
      <c r="C49" s="24" t="s">
        <v>74</v>
      </c>
      <c r="D49" s="24" t="s">
        <v>105</v>
      </c>
      <c r="E49" s="24" t="s">
        <v>152</v>
      </c>
      <c r="F49" s="21" t="s">
        <v>153</v>
      </c>
      <c r="G49" s="24" t="s">
        <v>154</v>
      </c>
      <c r="H49" s="21" t="s">
        <v>60</v>
      </c>
      <c r="I49" s="21" t="s">
        <v>61</v>
      </c>
      <c r="J49" s="24" t="s">
        <v>62</v>
      </c>
      <c r="K49" s="25" t="n">
        <v>153</v>
      </c>
      <c r="L49" s="26" t="n">
        <v>12.5</v>
      </c>
      <c r="M49" s="26" t="n">
        <v>12.5</v>
      </c>
      <c r="N49" s="26" t="n">
        <v>1912.5</v>
      </c>
      <c r="O49" s="26" t="n">
        <v>1912.5</v>
      </c>
      <c r="P49" s="26" t="n">
        <v>0</v>
      </c>
      <c r="Q49" s="21"/>
      <c r="R49" s="27" t="s">
        <v>63</v>
      </c>
      <c r="S49" s="21"/>
      <c r="T49" s="24" t="s">
        <v>180</v>
      </c>
    </row>
    <row r="50" customFormat="false" ht="15.75" hidden="false" customHeight="true" outlineLevel="0" collapsed="false">
      <c r="A50" s="28" t="s">
        <v>236</v>
      </c>
      <c r="B50" s="28" t="s">
        <v>237</v>
      </c>
      <c r="C50" s="28" t="s">
        <v>94</v>
      </c>
      <c r="D50" s="28" t="s">
        <v>189</v>
      </c>
      <c r="E50" s="28" t="s">
        <v>75</v>
      </c>
      <c r="F50" s="29" t="s">
        <v>76</v>
      </c>
      <c r="G50" s="28" t="s">
        <v>77</v>
      </c>
      <c r="H50" s="29" t="s">
        <v>60</v>
      </c>
      <c r="I50" s="29" t="s">
        <v>61</v>
      </c>
      <c r="J50" s="28" t="s">
        <v>62</v>
      </c>
      <c r="K50" s="30" t="n">
        <v>154</v>
      </c>
      <c r="L50" s="31" t="n">
        <v>12.5</v>
      </c>
      <c r="M50" s="31" t="n">
        <v>12.5</v>
      </c>
      <c r="N50" s="31" t="n">
        <v>1925</v>
      </c>
      <c r="O50" s="31" t="n">
        <v>1925</v>
      </c>
      <c r="P50" s="31" t="n">
        <v>0</v>
      </c>
      <c r="Q50" s="29"/>
      <c r="R50" s="32" t="s">
        <v>63</v>
      </c>
      <c r="S50" s="29"/>
      <c r="T50" s="28" t="s">
        <v>180</v>
      </c>
    </row>
    <row r="51" customFormat="false" ht="15.75" hidden="false" customHeight="true" outlineLevel="0" collapsed="false">
      <c r="A51" s="24" t="s">
        <v>238</v>
      </c>
      <c r="B51" s="24" t="s">
        <v>239</v>
      </c>
      <c r="C51" s="24" t="s">
        <v>74</v>
      </c>
      <c r="D51" s="24" t="s">
        <v>86</v>
      </c>
      <c r="E51" s="24" t="s">
        <v>142</v>
      </c>
      <c r="F51" s="21" t="s">
        <v>143</v>
      </c>
      <c r="G51" s="24" t="s">
        <v>144</v>
      </c>
      <c r="H51" s="21" t="s">
        <v>98</v>
      </c>
      <c r="I51" s="21" t="s">
        <v>99</v>
      </c>
      <c r="J51" s="24" t="s">
        <v>83</v>
      </c>
      <c r="K51" s="25" t="n">
        <v>19</v>
      </c>
      <c r="L51" s="26" t="n">
        <v>189</v>
      </c>
      <c r="M51" s="26" t="n">
        <v>189</v>
      </c>
      <c r="N51" s="26" t="n">
        <v>3591</v>
      </c>
      <c r="O51" s="26" t="n">
        <v>3591</v>
      </c>
      <c r="P51" s="26" t="n">
        <v>0</v>
      </c>
      <c r="Q51" s="21"/>
      <c r="R51" s="27" t="s">
        <v>63</v>
      </c>
      <c r="S51" s="21"/>
      <c r="T51" s="24" t="s">
        <v>180</v>
      </c>
    </row>
    <row r="52" customFormat="false" ht="15.75" hidden="false" customHeight="true" outlineLevel="0" collapsed="false">
      <c r="A52" s="33" t="s">
        <v>240</v>
      </c>
      <c r="B52" s="33" t="s">
        <v>241</v>
      </c>
      <c r="C52" s="33" t="s">
        <v>188</v>
      </c>
      <c r="D52" s="33" t="s">
        <v>242</v>
      </c>
      <c r="E52" s="33" t="s">
        <v>57</v>
      </c>
      <c r="F52" s="34" t="s">
        <v>58</v>
      </c>
      <c r="G52" s="33" t="s">
        <v>59</v>
      </c>
      <c r="H52" s="34" t="s">
        <v>121</v>
      </c>
      <c r="I52" s="34" t="s">
        <v>122</v>
      </c>
      <c r="J52" s="33" t="s">
        <v>123</v>
      </c>
      <c r="K52" s="35" t="n">
        <v>22</v>
      </c>
      <c r="L52" s="36" t="n">
        <v>50.42</v>
      </c>
      <c r="M52" s="36" t="n">
        <v>62</v>
      </c>
      <c r="N52" s="36" t="n">
        <v>1109.24</v>
      </c>
      <c r="O52" s="36" t="n">
        <v>1364</v>
      </c>
      <c r="P52" s="36" t="n">
        <v>-254.76</v>
      </c>
      <c r="Q52" s="34" t="s">
        <v>100</v>
      </c>
      <c r="R52" s="37" t="s">
        <v>101</v>
      </c>
      <c r="S52" s="34"/>
      <c r="T52" s="33" t="s">
        <v>180</v>
      </c>
    </row>
    <row r="53" customFormat="false" ht="15.75" hidden="false" customHeight="true" outlineLevel="0" collapsed="false">
      <c r="A53" s="24" t="s">
        <v>243</v>
      </c>
      <c r="B53" s="24" t="s">
        <v>244</v>
      </c>
      <c r="C53" s="24" t="s">
        <v>245</v>
      </c>
      <c r="D53" s="24" t="s">
        <v>207</v>
      </c>
      <c r="E53" s="24" t="s">
        <v>87</v>
      </c>
      <c r="F53" s="21" t="s">
        <v>88</v>
      </c>
      <c r="G53" s="24" t="s">
        <v>89</v>
      </c>
      <c r="H53" s="21" t="s">
        <v>60</v>
      </c>
      <c r="I53" s="21" t="s">
        <v>61</v>
      </c>
      <c r="J53" s="24" t="s">
        <v>62</v>
      </c>
      <c r="K53" s="25" t="n">
        <v>163</v>
      </c>
      <c r="L53" s="26" t="n">
        <v>12.5</v>
      </c>
      <c r="M53" s="26" t="n">
        <v>12.5</v>
      </c>
      <c r="N53" s="26" t="n">
        <v>2037.5</v>
      </c>
      <c r="O53" s="26" t="n">
        <v>2037.5</v>
      </c>
      <c r="P53" s="26" t="n">
        <v>0</v>
      </c>
      <c r="Q53" s="21"/>
      <c r="R53" s="27" t="s">
        <v>63</v>
      </c>
      <c r="S53" s="21"/>
      <c r="T53" s="24" t="s">
        <v>246</v>
      </c>
    </row>
    <row r="54" customFormat="false" ht="15.75" hidden="false" customHeight="true" outlineLevel="0" collapsed="false">
      <c r="A54" s="28" t="s">
        <v>247</v>
      </c>
      <c r="B54" s="28" t="s">
        <v>248</v>
      </c>
      <c r="C54" s="28" t="s">
        <v>131</v>
      </c>
      <c r="D54" s="28" t="s">
        <v>195</v>
      </c>
      <c r="E54" s="28" t="s">
        <v>87</v>
      </c>
      <c r="F54" s="29" t="s">
        <v>88</v>
      </c>
      <c r="G54" s="28" t="s">
        <v>89</v>
      </c>
      <c r="H54" s="29" t="s">
        <v>81</v>
      </c>
      <c r="I54" s="29" t="s">
        <v>82</v>
      </c>
      <c r="J54" s="28" t="s">
        <v>83</v>
      </c>
      <c r="K54" s="30" t="n">
        <v>85</v>
      </c>
      <c r="L54" s="31" t="n">
        <v>38</v>
      </c>
      <c r="M54" s="31" t="n">
        <v>38</v>
      </c>
      <c r="N54" s="31" t="n">
        <v>3230</v>
      </c>
      <c r="O54" s="31" t="n">
        <v>3230</v>
      </c>
      <c r="P54" s="31" t="n">
        <v>0</v>
      </c>
      <c r="Q54" s="29"/>
      <c r="R54" s="32" t="s">
        <v>63</v>
      </c>
      <c r="S54" s="29"/>
      <c r="T54" s="28" t="s">
        <v>246</v>
      </c>
    </row>
    <row r="55" customFormat="false" ht="15.75" hidden="false" customHeight="true" outlineLevel="0" collapsed="false">
      <c r="A55" s="24" t="s">
        <v>249</v>
      </c>
      <c r="B55" s="24" t="s">
        <v>250</v>
      </c>
      <c r="C55" s="24" t="s">
        <v>80</v>
      </c>
      <c r="D55" s="24" t="s">
        <v>195</v>
      </c>
      <c r="E55" s="24" t="s">
        <v>118</v>
      </c>
      <c r="F55" s="21" t="s">
        <v>119</v>
      </c>
      <c r="G55" s="24" t="s">
        <v>120</v>
      </c>
      <c r="H55" s="21" t="s">
        <v>145</v>
      </c>
      <c r="I55" s="21" t="s">
        <v>146</v>
      </c>
      <c r="J55" s="24" t="s">
        <v>83</v>
      </c>
      <c r="K55" s="25" t="n">
        <v>72</v>
      </c>
      <c r="L55" s="26" t="n">
        <v>320</v>
      </c>
      <c r="M55" s="26" t="n">
        <v>320</v>
      </c>
      <c r="N55" s="26" t="n">
        <v>23040</v>
      </c>
      <c r="O55" s="26" t="n">
        <v>23040</v>
      </c>
      <c r="P55" s="26" t="n">
        <v>0</v>
      </c>
      <c r="Q55" s="21"/>
      <c r="R55" s="27" t="s">
        <v>63</v>
      </c>
      <c r="S55" s="21"/>
      <c r="T55" s="24" t="s">
        <v>246</v>
      </c>
    </row>
    <row r="56" customFormat="false" ht="15.75" hidden="false" customHeight="true" outlineLevel="0" collapsed="false">
      <c r="A56" s="28" t="s">
        <v>251</v>
      </c>
      <c r="B56" s="28" t="s">
        <v>252</v>
      </c>
      <c r="C56" s="28" t="s">
        <v>245</v>
      </c>
      <c r="D56" s="28" t="s">
        <v>242</v>
      </c>
      <c r="E56" s="28" t="s">
        <v>95</v>
      </c>
      <c r="F56" s="29" t="s">
        <v>96</v>
      </c>
      <c r="G56" s="28" t="s">
        <v>97</v>
      </c>
      <c r="H56" s="29" t="s">
        <v>138</v>
      </c>
      <c r="I56" s="29" t="s">
        <v>139</v>
      </c>
      <c r="J56" s="28" t="s">
        <v>83</v>
      </c>
      <c r="K56" s="30" t="n">
        <v>85</v>
      </c>
      <c r="L56" s="31" t="n">
        <v>185</v>
      </c>
      <c r="M56" s="31" t="n">
        <v>185</v>
      </c>
      <c r="N56" s="31" t="n">
        <v>15725</v>
      </c>
      <c r="O56" s="31" t="n">
        <v>15725</v>
      </c>
      <c r="P56" s="31" t="n">
        <v>0</v>
      </c>
      <c r="Q56" s="29"/>
      <c r="R56" s="32" t="s">
        <v>63</v>
      </c>
      <c r="S56" s="29"/>
      <c r="T56" s="28" t="s">
        <v>246</v>
      </c>
    </row>
    <row r="57" customFormat="false" ht="15.75" hidden="false" customHeight="true" outlineLevel="0" collapsed="false">
      <c r="A57" s="24" t="s">
        <v>253</v>
      </c>
      <c r="B57" s="24" t="s">
        <v>254</v>
      </c>
      <c r="C57" s="24" t="s">
        <v>105</v>
      </c>
      <c r="D57" s="24" t="s">
        <v>179</v>
      </c>
      <c r="E57" s="24" t="s">
        <v>87</v>
      </c>
      <c r="F57" s="21" t="s">
        <v>88</v>
      </c>
      <c r="G57" s="24" t="s">
        <v>89</v>
      </c>
      <c r="H57" s="21" t="s">
        <v>112</v>
      </c>
      <c r="I57" s="21" t="s">
        <v>113</v>
      </c>
      <c r="J57" s="24" t="s">
        <v>83</v>
      </c>
      <c r="K57" s="25" t="n">
        <v>23</v>
      </c>
      <c r="L57" s="26" t="n">
        <v>245</v>
      </c>
      <c r="M57" s="26" t="n">
        <v>245</v>
      </c>
      <c r="N57" s="26" t="n">
        <v>5635</v>
      </c>
      <c r="O57" s="26" t="n">
        <v>5635</v>
      </c>
      <c r="P57" s="26" t="n">
        <v>0</v>
      </c>
      <c r="Q57" s="21"/>
      <c r="R57" s="27" t="s">
        <v>63</v>
      </c>
      <c r="S57" s="21"/>
      <c r="T57" s="24" t="s">
        <v>246</v>
      </c>
    </row>
    <row r="58" customFormat="false" ht="15.75" hidden="false" customHeight="true" outlineLevel="0" collapsed="false">
      <c r="A58" s="28" t="s">
        <v>255</v>
      </c>
      <c r="B58" s="28" t="s">
        <v>256</v>
      </c>
      <c r="C58" s="28" t="s">
        <v>149</v>
      </c>
      <c r="D58" s="28" t="s">
        <v>207</v>
      </c>
      <c r="E58" s="28" t="s">
        <v>135</v>
      </c>
      <c r="F58" s="29" t="s">
        <v>136</v>
      </c>
      <c r="G58" s="28" t="s">
        <v>137</v>
      </c>
      <c r="H58" s="29" t="s">
        <v>161</v>
      </c>
      <c r="I58" s="29" t="s">
        <v>162</v>
      </c>
      <c r="J58" s="28" t="s">
        <v>83</v>
      </c>
      <c r="K58" s="30" t="n">
        <v>22</v>
      </c>
      <c r="L58" s="31" t="n">
        <v>45</v>
      </c>
      <c r="M58" s="31" t="n">
        <v>45</v>
      </c>
      <c r="N58" s="31" t="n">
        <v>990</v>
      </c>
      <c r="O58" s="31" t="n">
        <v>990</v>
      </c>
      <c r="P58" s="31" t="n">
        <v>0</v>
      </c>
      <c r="Q58" s="29"/>
      <c r="R58" s="32" t="s">
        <v>63</v>
      </c>
      <c r="S58" s="29"/>
      <c r="T58" s="28" t="s">
        <v>246</v>
      </c>
    </row>
    <row r="59" customFormat="false" ht="15.75" hidden="false" customHeight="true" outlineLevel="0" collapsed="false">
      <c r="A59" s="24" t="s">
        <v>257</v>
      </c>
      <c r="B59" s="24" t="s">
        <v>258</v>
      </c>
      <c r="C59" s="24" t="s">
        <v>131</v>
      </c>
      <c r="D59" s="24" t="s">
        <v>259</v>
      </c>
      <c r="E59" s="24" t="s">
        <v>223</v>
      </c>
      <c r="F59" s="21" t="s">
        <v>224</v>
      </c>
      <c r="G59" s="24" t="s">
        <v>225</v>
      </c>
      <c r="H59" s="21" t="s">
        <v>81</v>
      </c>
      <c r="I59" s="21" t="s">
        <v>82</v>
      </c>
      <c r="J59" s="24" t="s">
        <v>83</v>
      </c>
      <c r="K59" s="25" t="n">
        <v>185</v>
      </c>
      <c r="L59" s="26" t="n">
        <v>38</v>
      </c>
      <c r="M59" s="26" t="n">
        <v>38</v>
      </c>
      <c r="N59" s="26" t="n">
        <v>7030</v>
      </c>
      <c r="O59" s="26" t="n">
        <v>7030</v>
      </c>
      <c r="P59" s="26" t="n">
        <v>0</v>
      </c>
      <c r="Q59" s="21"/>
      <c r="R59" s="27" t="s">
        <v>63</v>
      </c>
      <c r="S59" s="21"/>
      <c r="T59" s="24" t="s">
        <v>246</v>
      </c>
    </row>
    <row r="60" customFormat="false" ht="15.75" hidden="false" customHeight="true" outlineLevel="0" collapsed="false">
      <c r="A60" s="28" t="s">
        <v>260</v>
      </c>
      <c r="B60" s="28" t="s">
        <v>261</v>
      </c>
      <c r="C60" s="28" t="s">
        <v>105</v>
      </c>
      <c r="D60" s="28" t="s">
        <v>262</v>
      </c>
      <c r="E60" s="28" t="s">
        <v>142</v>
      </c>
      <c r="F60" s="29" t="s">
        <v>143</v>
      </c>
      <c r="G60" s="28" t="s">
        <v>144</v>
      </c>
      <c r="H60" s="29" t="s">
        <v>60</v>
      </c>
      <c r="I60" s="29" t="s">
        <v>61</v>
      </c>
      <c r="J60" s="28" t="s">
        <v>62</v>
      </c>
      <c r="K60" s="30" t="n">
        <v>175</v>
      </c>
      <c r="L60" s="31" t="n">
        <v>12.5</v>
      </c>
      <c r="M60" s="31" t="n">
        <v>12.5</v>
      </c>
      <c r="N60" s="31" t="n">
        <v>2187.5</v>
      </c>
      <c r="O60" s="31" t="n">
        <v>2187.5</v>
      </c>
      <c r="P60" s="31" t="n">
        <v>0</v>
      </c>
      <c r="Q60" s="29"/>
      <c r="R60" s="32" t="s">
        <v>63</v>
      </c>
      <c r="S60" s="29"/>
      <c r="T60" s="28" t="s">
        <v>246</v>
      </c>
    </row>
    <row r="61" customFormat="false" ht="15.75" hidden="false" customHeight="true" outlineLevel="0" collapsed="false">
      <c r="A61" s="33" t="s">
        <v>263</v>
      </c>
      <c r="B61" s="33" t="s">
        <v>264</v>
      </c>
      <c r="C61" s="33" t="s">
        <v>245</v>
      </c>
      <c r="D61" s="33" t="s">
        <v>265</v>
      </c>
      <c r="E61" s="33" t="s">
        <v>57</v>
      </c>
      <c r="F61" s="34" t="s">
        <v>58</v>
      </c>
      <c r="G61" s="33" t="s">
        <v>59</v>
      </c>
      <c r="H61" s="34" t="s">
        <v>98</v>
      </c>
      <c r="I61" s="34" t="s">
        <v>99</v>
      </c>
      <c r="J61" s="33" t="s">
        <v>83</v>
      </c>
      <c r="K61" s="35" t="n">
        <v>72</v>
      </c>
      <c r="L61" s="36" t="n">
        <v>216.67</v>
      </c>
      <c r="M61" s="36" t="n">
        <v>189</v>
      </c>
      <c r="N61" s="36" t="n">
        <v>15600.24</v>
      </c>
      <c r="O61" s="36" t="n">
        <v>13608</v>
      </c>
      <c r="P61" s="36" t="n">
        <v>1992.24</v>
      </c>
      <c r="Q61" s="34" t="s">
        <v>266</v>
      </c>
      <c r="R61" s="37" t="s">
        <v>101</v>
      </c>
      <c r="S61" s="34"/>
      <c r="T61" s="33" t="s">
        <v>246</v>
      </c>
    </row>
    <row r="62" customFormat="false" ht="15.75" hidden="false" customHeight="true" outlineLevel="0" collapsed="false">
      <c r="A62" s="28" t="s">
        <v>267</v>
      </c>
      <c r="B62" s="28" t="s">
        <v>268</v>
      </c>
      <c r="C62" s="28" t="s">
        <v>131</v>
      </c>
      <c r="D62" s="28" t="s">
        <v>195</v>
      </c>
      <c r="E62" s="28" t="s">
        <v>87</v>
      </c>
      <c r="F62" s="29" t="s">
        <v>88</v>
      </c>
      <c r="G62" s="28" t="s">
        <v>89</v>
      </c>
      <c r="H62" s="29" t="s">
        <v>145</v>
      </c>
      <c r="I62" s="29" t="s">
        <v>146</v>
      </c>
      <c r="J62" s="28" t="s">
        <v>83</v>
      </c>
      <c r="K62" s="30" t="n">
        <v>188</v>
      </c>
      <c r="L62" s="31" t="n">
        <v>320</v>
      </c>
      <c r="M62" s="31" t="n">
        <v>320</v>
      </c>
      <c r="N62" s="31" t="n">
        <v>60160</v>
      </c>
      <c r="O62" s="31" t="n">
        <v>60160</v>
      </c>
      <c r="P62" s="31" t="n">
        <v>0</v>
      </c>
      <c r="Q62" s="29"/>
      <c r="R62" s="32" t="s">
        <v>63</v>
      </c>
      <c r="S62" s="29"/>
      <c r="T62" s="28" t="s">
        <v>246</v>
      </c>
    </row>
    <row r="63" customFormat="false" ht="15.75" hidden="false" customHeight="true" outlineLevel="0" collapsed="false">
      <c r="A63" s="24" t="s">
        <v>269</v>
      </c>
      <c r="B63" s="24" t="s">
        <v>270</v>
      </c>
      <c r="C63" s="24" t="s">
        <v>131</v>
      </c>
      <c r="D63" s="24" t="s">
        <v>271</v>
      </c>
      <c r="E63" s="24" t="s">
        <v>95</v>
      </c>
      <c r="F63" s="21" t="s">
        <v>96</v>
      </c>
      <c r="G63" s="24" t="s">
        <v>97</v>
      </c>
      <c r="H63" s="21" t="s">
        <v>81</v>
      </c>
      <c r="I63" s="21" t="s">
        <v>82</v>
      </c>
      <c r="J63" s="24" t="s">
        <v>83</v>
      </c>
      <c r="K63" s="25" t="n">
        <v>130</v>
      </c>
      <c r="L63" s="26" t="n">
        <v>38</v>
      </c>
      <c r="M63" s="26" t="n">
        <v>38</v>
      </c>
      <c r="N63" s="26" t="n">
        <v>4940</v>
      </c>
      <c r="O63" s="26" t="n">
        <v>4940</v>
      </c>
      <c r="P63" s="26" t="n">
        <v>0</v>
      </c>
      <c r="Q63" s="21"/>
      <c r="R63" s="27" t="s">
        <v>63</v>
      </c>
      <c r="S63" s="21"/>
      <c r="T63" s="24" t="s">
        <v>246</v>
      </c>
    </row>
    <row r="64" customFormat="false" ht="15.75" hidden="false" customHeight="true" outlineLevel="0" collapsed="false">
      <c r="A64" s="28" t="s">
        <v>272</v>
      </c>
      <c r="B64" s="28" t="s">
        <v>273</v>
      </c>
      <c r="C64" s="28" t="s">
        <v>80</v>
      </c>
      <c r="D64" s="28" t="s">
        <v>271</v>
      </c>
      <c r="E64" s="28" t="s">
        <v>75</v>
      </c>
      <c r="F64" s="29" t="s">
        <v>76</v>
      </c>
      <c r="G64" s="28" t="s">
        <v>77</v>
      </c>
      <c r="H64" s="29" t="s">
        <v>112</v>
      </c>
      <c r="I64" s="29" t="s">
        <v>113</v>
      </c>
      <c r="J64" s="28" t="s">
        <v>83</v>
      </c>
      <c r="K64" s="30" t="n">
        <v>167</v>
      </c>
      <c r="L64" s="31" t="n">
        <v>245</v>
      </c>
      <c r="M64" s="31" t="n">
        <v>245</v>
      </c>
      <c r="N64" s="31" t="n">
        <v>40915</v>
      </c>
      <c r="O64" s="31" t="n">
        <v>40915</v>
      </c>
      <c r="P64" s="31" t="n">
        <v>0</v>
      </c>
      <c r="Q64" s="29"/>
      <c r="R64" s="32" t="s">
        <v>63</v>
      </c>
      <c r="S64" s="29"/>
      <c r="T64" s="28" t="s">
        <v>246</v>
      </c>
    </row>
    <row r="65" customFormat="false" ht="15.75" hidden="false" customHeight="true" outlineLevel="0" collapsed="false">
      <c r="A65" s="24" t="s">
        <v>274</v>
      </c>
      <c r="B65" s="24" t="s">
        <v>275</v>
      </c>
      <c r="C65" s="24" t="s">
        <v>131</v>
      </c>
      <c r="D65" s="24" t="s">
        <v>189</v>
      </c>
      <c r="E65" s="24" t="s">
        <v>75</v>
      </c>
      <c r="F65" s="21" t="s">
        <v>76</v>
      </c>
      <c r="G65" s="24" t="s">
        <v>77</v>
      </c>
      <c r="H65" s="21" t="s">
        <v>161</v>
      </c>
      <c r="I65" s="21" t="s">
        <v>162</v>
      </c>
      <c r="J65" s="24" t="s">
        <v>83</v>
      </c>
      <c r="K65" s="25" t="n">
        <v>38</v>
      </c>
      <c r="L65" s="26" t="n">
        <v>45</v>
      </c>
      <c r="M65" s="26" t="n">
        <v>45</v>
      </c>
      <c r="N65" s="26" t="n">
        <v>1710</v>
      </c>
      <c r="O65" s="26" t="n">
        <v>1710</v>
      </c>
      <c r="P65" s="26" t="n">
        <v>0</v>
      </c>
      <c r="Q65" s="21"/>
      <c r="R65" s="27" t="s">
        <v>63</v>
      </c>
      <c r="S65" s="21"/>
      <c r="T65" s="24" t="s">
        <v>246</v>
      </c>
    </row>
    <row r="66" customFormat="false" ht="15.75" hidden="false" customHeight="true" outlineLevel="0" collapsed="false">
      <c r="A66" s="33" t="s">
        <v>276</v>
      </c>
      <c r="B66" s="33" t="s">
        <v>277</v>
      </c>
      <c r="C66" s="33" t="s">
        <v>105</v>
      </c>
      <c r="D66" s="33" t="s">
        <v>189</v>
      </c>
      <c r="E66" s="33" t="s">
        <v>142</v>
      </c>
      <c r="F66" s="34" t="s">
        <v>143</v>
      </c>
      <c r="G66" s="33" t="s">
        <v>144</v>
      </c>
      <c r="H66" s="34" t="s">
        <v>278</v>
      </c>
      <c r="I66" s="34" t="s">
        <v>279</v>
      </c>
      <c r="J66" s="33" t="s">
        <v>83</v>
      </c>
      <c r="K66" s="35" t="n">
        <v>114</v>
      </c>
      <c r="L66" s="36" t="n">
        <v>76.63</v>
      </c>
      <c r="M66" s="36" t="n">
        <v>95</v>
      </c>
      <c r="N66" s="36" t="n">
        <v>8735.82</v>
      </c>
      <c r="O66" s="36" t="n">
        <v>10830</v>
      </c>
      <c r="P66" s="36" t="n">
        <v>-2094.18</v>
      </c>
      <c r="Q66" s="34" t="s">
        <v>100</v>
      </c>
      <c r="R66" s="37" t="s">
        <v>101</v>
      </c>
      <c r="S66" s="34"/>
      <c r="T66" s="33" t="s">
        <v>246</v>
      </c>
    </row>
    <row r="67" customFormat="false" ht="15.75" hidden="false" customHeight="true" outlineLevel="0" collapsed="false">
      <c r="A67" s="24" t="s">
        <v>280</v>
      </c>
      <c r="B67" s="24" t="s">
        <v>281</v>
      </c>
      <c r="C67" s="24" t="s">
        <v>105</v>
      </c>
      <c r="D67" s="24" t="s">
        <v>207</v>
      </c>
      <c r="E67" s="24" t="s">
        <v>75</v>
      </c>
      <c r="F67" s="21" t="s">
        <v>76</v>
      </c>
      <c r="G67" s="24" t="s">
        <v>77</v>
      </c>
      <c r="H67" s="21" t="s">
        <v>161</v>
      </c>
      <c r="I67" s="21" t="s">
        <v>162</v>
      </c>
      <c r="J67" s="24" t="s">
        <v>83</v>
      </c>
      <c r="K67" s="25" t="n">
        <v>154</v>
      </c>
      <c r="L67" s="26" t="n">
        <v>45</v>
      </c>
      <c r="M67" s="26" t="n">
        <v>45</v>
      </c>
      <c r="N67" s="26" t="n">
        <v>6930</v>
      </c>
      <c r="O67" s="26" t="n">
        <v>6930</v>
      </c>
      <c r="P67" s="26" t="n">
        <v>0</v>
      </c>
      <c r="Q67" s="21"/>
      <c r="R67" s="27" t="s">
        <v>63</v>
      </c>
      <c r="S67" s="21"/>
      <c r="T67" s="24" t="s">
        <v>246</v>
      </c>
    </row>
    <row r="68" customFormat="false" ht="15.75" hidden="false" customHeight="true" outlineLevel="0" collapsed="false">
      <c r="A68" s="28" t="s">
        <v>282</v>
      </c>
      <c r="B68" s="28" t="s">
        <v>283</v>
      </c>
      <c r="C68" s="28" t="s">
        <v>245</v>
      </c>
      <c r="D68" s="28" t="s">
        <v>265</v>
      </c>
      <c r="E68" s="28" t="s">
        <v>75</v>
      </c>
      <c r="F68" s="29" t="s">
        <v>76</v>
      </c>
      <c r="G68" s="28" t="s">
        <v>77</v>
      </c>
      <c r="H68" s="29" t="s">
        <v>90</v>
      </c>
      <c r="I68" s="29" t="s">
        <v>91</v>
      </c>
      <c r="J68" s="28" t="s">
        <v>70</v>
      </c>
      <c r="K68" s="30" t="n">
        <v>98</v>
      </c>
      <c r="L68" s="31" t="n">
        <v>8.75</v>
      </c>
      <c r="M68" s="31" t="n">
        <v>8.75</v>
      </c>
      <c r="N68" s="31" t="n">
        <v>857.5</v>
      </c>
      <c r="O68" s="31" t="n">
        <v>857.5</v>
      </c>
      <c r="P68" s="31" t="n">
        <v>0</v>
      </c>
      <c r="Q68" s="29"/>
      <c r="R68" s="32" t="s">
        <v>63</v>
      </c>
      <c r="S68" s="29"/>
      <c r="T68" s="28" t="s">
        <v>246</v>
      </c>
    </row>
    <row r="69" customFormat="false" ht="15.75" hidden="false" customHeight="true" outlineLevel="0" collapsed="false">
      <c r="A69" s="24" t="s">
        <v>284</v>
      </c>
      <c r="B69" s="24" t="s">
        <v>285</v>
      </c>
      <c r="C69" s="24" t="s">
        <v>131</v>
      </c>
      <c r="D69" s="24" t="s">
        <v>265</v>
      </c>
      <c r="E69" s="24" t="s">
        <v>152</v>
      </c>
      <c r="F69" s="21" t="s">
        <v>153</v>
      </c>
      <c r="G69" s="24" t="s">
        <v>154</v>
      </c>
      <c r="H69" s="21" t="s">
        <v>68</v>
      </c>
      <c r="I69" s="21" t="s">
        <v>69</v>
      </c>
      <c r="J69" s="24" t="s">
        <v>70</v>
      </c>
      <c r="K69" s="25" t="n">
        <v>31</v>
      </c>
      <c r="L69" s="26" t="n">
        <v>3.2</v>
      </c>
      <c r="M69" s="26" t="n">
        <v>3.2</v>
      </c>
      <c r="N69" s="26" t="n">
        <v>99.2</v>
      </c>
      <c r="O69" s="26" t="n">
        <v>99.2</v>
      </c>
      <c r="P69" s="26" t="n">
        <v>0</v>
      </c>
      <c r="Q69" s="21"/>
      <c r="R69" s="27" t="s">
        <v>63</v>
      </c>
      <c r="S69" s="21"/>
      <c r="T69" s="24" t="s">
        <v>246</v>
      </c>
    </row>
    <row r="70" customFormat="false" ht="15.75" hidden="false" customHeight="true" outlineLevel="0" collapsed="false">
      <c r="A70" s="28" t="s">
        <v>286</v>
      </c>
      <c r="B70" s="28" t="s">
        <v>287</v>
      </c>
      <c r="C70" s="28" t="s">
        <v>149</v>
      </c>
      <c r="D70" s="28" t="s">
        <v>288</v>
      </c>
      <c r="E70" s="28" t="s">
        <v>109</v>
      </c>
      <c r="F70" s="29" t="s">
        <v>110</v>
      </c>
      <c r="G70" s="28" t="s">
        <v>111</v>
      </c>
      <c r="H70" s="29" t="s">
        <v>121</v>
      </c>
      <c r="I70" s="29" t="s">
        <v>122</v>
      </c>
      <c r="J70" s="28" t="s">
        <v>123</v>
      </c>
      <c r="K70" s="30" t="n">
        <v>196</v>
      </c>
      <c r="L70" s="31" t="n">
        <v>62</v>
      </c>
      <c r="M70" s="31" t="n">
        <v>62</v>
      </c>
      <c r="N70" s="31" t="n">
        <v>12152</v>
      </c>
      <c r="O70" s="31" t="n">
        <v>12152</v>
      </c>
      <c r="P70" s="31" t="n">
        <v>0</v>
      </c>
      <c r="Q70" s="29"/>
      <c r="R70" s="32" t="s">
        <v>63</v>
      </c>
      <c r="S70" s="29"/>
      <c r="T70" s="28" t="s">
        <v>246</v>
      </c>
    </row>
    <row r="71" customFormat="false" ht="15.75" hidden="false" customHeight="true" outlineLevel="0" collapsed="false">
      <c r="A71" s="24" t="s">
        <v>289</v>
      </c>
      <c r="B71" s="24" t="s">
        <v>290</v>
      </c>
      <c r="C71" s="24" t="s">
        <v>245</v>
      </c>
      <c r="D71" s="24" t="s">
        <v>134</v>
      </c>
      <c r="E71" s="24" t="s">
        <v>135</v>
      </c>
      <c r="F71" s="21" t="s">
        <v>136</v>
      </c>
      <c r="G71" s="24" t="s">
        <v>137</v>
      </c>
      <c r="H71" s="21" t="s">
        <v>98</v>
      </c>
      <c r="I71" s="21" t="s">
        <v>99</v>
      </c>
      <c r="J71" s="24" t="s">
        <v>83</v>
      </c>
      <c r="K71" s="25" t="n">
        <v>110</v>
      </c>
      <c r="L71" s="26" t="n">
        <v>189</v>
      </c>
      <c r="M71" s="26" t="n">
        <v>189</v>
      </c>
      <c r="N71" s="26" t="n">
        <v>20790</v>
      </c>
      <c r="O71" s="26" t="n">
        <v>20790</v>
      </c>
      <c r="P71" s="26" t="n">
        <v>0</v>
      </c>
      <c r="Q71" s="21"/>
      <c r="R71" s="27" t="s">
        <v>63</v>
      </c>
      <c r="S71" s="21"/>
      <c r="T71" s="24" t="s">
        <v>246</v>
      </c>
    </row>
    <row r="72" customFormat="false" ht="15.75" hidden="false" customHeight="true" outlineLevel="0" collapsed="false">
      <c r="A72" s="28" t="s">
        <v>291</v>
      </c>
      <c r="B72" s="28" t="s">
        <v>292</v>
      </c>
      <c r="C72" s="28" t="s">
        <v>149</v>
      </c>
      <c r="D72" s="28" t="s">
        <v>195</v>
      </c>
      <c r="E72" s="28" t="s">
        <v>118</v>
      </c>
      <c r="F72" s="29" t="s">
        <v>119</v>
      </c>
      <c r="G72" s="28" t="s">
        <v>120</v>
      </c>
      <c r="H72" s="29" t="s">
        <v>213</v>
      </c>
      <c r="I72" s="29" t="s">
        <v>214</v>
      </c>
      <c r="J72" s="28" t="s">
        <v>83</v>
      </c>
      <c r="K72" s="30" t="n">
        <v>176</v>
      </c>
      <c r="L72" s="31" t="n">
        <v>560</v>
      </c>
      <c r="M72" s="31" t="n">
        <v>560</v>
      </c>
      <c r="N72" s="31" t="n">
        <v>98560</v>
      </c>
      <c r="O72" s="31" t="n">
        <v>98560</v>
      </c>
      <c r="P72" s="31" t="n">
        <v>0</v>
      </c>
      <c r="Q72" s="29"/>
      <c r="R72" s="32" t="s">
        <v>63</v>
      </c>
      <c r="S72" s="29"/>
      <c r="T72" s="28" t="s">
        <v>246</v>
      </c>
    </row>
    <row r="73" customFormat="false" ht="15.75" hidden="false" customHeight="true" outlineLevel="0" collapsed="false">
      <c r="A73" s="24" t="s">
        <v>293</v>
      </c>
      <c r="B73" s="24" t="s">
        <v>294</v>
      </c>
      <c r="C73" s="24" t="s">
        <v>80</v>
      </c>
      <c r="D73" s="24" t="s">
        <v>207</v>
      </c>
      <c r="E73" s="24" t="s">
        <v>57</v>
      </c>
      <c r="F73" s="21" t="s">
        <v>58</v>
      </c>
      <c r="G73" s="24" t="s">
        <v>59</v>
      </c>
      <c r="H73" s="21" t="s">
        <v>213</v>
      </c>
      <c r="I73" s="21" t="s">
        <v>214</v>
      </c>
      <c r="J73" s="24" t="s">
        <v>83</v>
      </c>
      <c r="K73" s="25" t="n">
        <v>14</v>
      </c>
      <c r="L73" s="26" t="n">
        <v>560</v>
      </c>
      <c r="M73" s="26" t="n">
        <v>560</v>
      </c>
      <c r="N73" s="26" t="n">
        <v>7840</v>
      </c>
      <c r="O73" s="26" t="n">
        <v>7840</v>
      </c>
      <c r="P73" s="26" t="n">
        <v>0</v>
      </c>
      <c r="Q73" s="21"/>
      <c r="R73" s="27" t="s">
        <v>63</v>
      </c>
      <c r="S73" s="21"/>
      <c r="T73" s="24" t="s">
        <v>246</v>
      </c>
    </row>
    <row r="74" customFormat="false" ht="15.75" hidden="false" customHeight="true" outlineLevel="0" collapsed="false">
      <c r="A74" s="33" t="s">
        <v>295</v>
      </c>
      <c r="B74" s="33" t="s">
        <v>296</v>
      </c>
      <c r="C74" s="33" t="s">
        <v>149</v>
      </c>
      <c r="D74" s="33" t="s">
        <v>189</v>
      </c>
      <c r="E74" s="33" t="s">
        <v>223</v>
      </c>
      <c r="F74" s="34" t="s">
        <v>224</v>
      </c>
      <c r="G74" s="33" t="s">
        <v>225</v>
      </c>
      <c r="H74" s="34" t="s">
        <v>161</v>
      </c>
      <c r="I74" s="34" t="s">
        <v>162</v>
      </c>
      <c r="J74" s="33" t="s">
        <v>83</v>
      </c>
      <c r="K74" s="35" t="n">
        <v>83</v>
      </c>
      <c r="L74" s="36" t="n">
        <v>49.64</v>
      </c>
      <c r="M74" s="36" t="n">
        <v>45</v>
      </c>
      <c r="N74" s="36" t="n">
        <v>4120.12</v>
      </c>
      <c r="O74" s="36" t="n">
        <v>3735</v>
      </c>
      <c r="P74" s="36" t="n">
        <v>385.12</v>
      </c>
      <c r="Q74" s="34" t="s">
        <v>266</v>
      </c>
      <c r="R74" s="37" t="s">
        <v>101</v>
      </c>
      <c r="S74" s="34"/>
      <c r="T74" s="33" t="s">
        <v>246</v>
      </c>
    </row>
    <row r="75" customFormat="false" ht="15.75" hidden="false" customHeight="true" outlineLevel="0" collapsed="false">
      <c r="A75" s="24" t="s">
        <v>297</v>
      </c>
      <c r="B75" s="24" t="s">
        <v>298</v>
      </c>
      <c r="C75" s="24" t="s">
        <v>105</v>
      </c>
      <c r="D75" s="24" t="s">
        <v>192</v>
      </c>
      <c r="E75" s="24" t="s">
        <v>57</v>
      </c>
      <c r="F75" s="21" t="s">
        <v>58</v>
      </c>
      <c r="G75" s="24" t="s">
        <v>59</v>
      </c>
      <c r="H75" s="21" t="s">
        <v>90</v>
      </c>
      <c r="I75" s="21" t="s">
        <v>91</v>
      </c>
      <c r="J75" s="24" t="s">
        <v>70</v>
      </c>
      <c r="K75" s="25" t="n">
        <v>94</v>
      </c>
      <c r="L75" s="26" t="n">
        <v>8.75</v>
      </c>
      <c r="M75" s="26" t="n">
        <v>8.75</v>
      </c>
      <c r="N75" s="26" t="n">
        <v>822.5</v>
      </c>
      <c r="O75" s="26" t="n">
        <v>822.5</v>
      </c>
      <c r="P75" s="26" t="n">
        <v>0</v>
      </c>
      <c r="Q75" s="21"/>
      <c r="R75" s="27" t="s">
        <v>63</v>
      </c>
      <c r="S75" s="21"/>
      <c r="T75" s="24" t="s">
        <v>246</v>
      </c>
    </row>
    <row r="76" customFormat="false" ht="15.75" hidden="false" customHeight="true" outlineLevel="0" collapsed="false">
      <c r="A76" s="28" t="s">
        <v>299</v>
      </c>
      <c r="B76" s="28" t="s">
        <v>300</v>
      </c>
      <c r="C76" s="28" t="s">
        <v>245</v>
      </c>
      <c r="D76" s="28" t="s">
        <v>265</v>
      </c>
      <c r="E76" s="28" t="s">
        <v>142</v>
      </c>
      <c r="F76" s="29" t="s">
        <v>143</v>
      </c>
      <c r="G76" s="28" t="s">
        <v>144</v>
      </c>
      <c r="H76" s="29" t="s">
        <v>161</v>
      </c>
      <c r="I76" s="29" t="s">
        <v>162</v>
      </c>
      <c r="J76" s="28" t="s">
        <v>83</v>
      </c>
      <c r="K76" s="30" t="n">
        <v>12</v>
      </c>
      <c r="L76" s="31" t="n">
        <v>45</v>
      </c>
      <c r="M76" s="31" t="n">
        <v>45</v>
      </c>
      <c r="N76" s="31" t="n">
        <v>540</v>
      </c>
      <c r="O76" s="31" t="n">
        <v>540</v>
      </c>
      <c r="P76" s="31" t="n">
        <v>0</v>
      </c>
      <c r="Q76" s="29"/>
      <c r="R76" s="32" t="s">
        <v>63</v>
      </c>
      <c r="S76" s="29"/>
      <c r="T76" s="28" t="s">
        <v>246</v>
      </c>
    </row>
    <row r="77" customFormat="false" ht="15.75" hidden="false" customHeight="true" outlineLevel="0" collapsed="false">
      <c r="A77" s="24" t="s">
        <v>301</v>
      </c>
      <c r="B77" s="24" t="s">
        <v>302</v>
      </c>
      <c r="C77" s="24" t="s">
        <v>245</v>
      </c>
      <c r="D77" s="24" t="s">
        <v>108</v>
      </c>
      <c r="E77" s="24" t="s">
        <v>135</v>
      </c>
      <c r="F77" s="21" t="s">
        <v>136</v>
      </c>
      <c r="G77" s="24" t="s">
        <v>137</v>
      </c>
      <c r="H77" s="21" t="s">
        <v>121</v>
      </c>
      <c r="I77" s="21" t="s">
        <v>122</v>
      </c>
      <c r="J77" s="24" t="s">
        <v>123</v>
      </c>
      <c r="K77" s="25" t="n">
        <v>72</v>
      </c>
      <c r="L77" s="26" t="n">
        <v>62</v>
      </c>
      <c r="M77" s="26" t="n">
        <v>62</v>
      </c>
      <c r="N77" s="26" t="n">
        <v>4464</v>
      </c>
      <c r="O77" s="26" t="n">
        <v>4464</v>
      </c>
      <c r="P77" s="26" t="n">
        <v>0</v>
      </c>
      <c r="Q77" s="21"/>
      <c r="R77" s="27" t="s">
        <v>63</v>
      </c>
      <c r="S77" s="21"/>
      <c r="T77" s="24" t="s">
        <v>246</v>
      </c>
    </row>
    <row r="78" customFormat="false" ht="15.75" hidden="false" customHeight="true" outlineLevel="0" collapsed="false">
      <c r="A78" s="28" t="s">
        <v>303</v>
      </c>
      <c r="B78" s="28" t="s">
        <v>304</v>
      </c>
      <c r="C78" s="28" t="s">
        <v>210</v>
      </c>
      <c r="D78" s="28" t="s">
        <v>305</v>
      </c>
      <c r="E78" s="28" t="s">
        <v>118</v>
      </c>
      <c r="F78" s="29" t="s">
        <v>119</v>
      </c>
      <c r="G78" s="28" t="s">
        <v>120</v>
      </c>
      <c r="H78" s="29" t="s">
        <v>278</v>
      </c>
      <c r="I78" s="29" t="s">
        <v>279</v>
      </c>
      <c r="J78" s="28" t="s">
        <v>83</v>
      </c>
      <c r="K78" s="30" t="n">
        <v>85</v>
      </c>
      <c r="L78" s="31" t="n">
        <v>95</v>
      </c>
      <c r="M78" s="31" t="n">
        <v>95</v>
      </c>
      <c r="N78" s="31" t="n">
        <v>8075</v>
      </c>
      <c r="O78" s="31" t="n">
        <v>8075</v>
      </c>
      <c r="P78" s="31" t="n">
        <v>0</v>
      </c>
      <c r="Q78" s="29"/>
      <c r="R78" s="32" t="s">
        <v>63</v>
      </c>
      <c r="S78" s="29"/>
      <c r="T78" s="28" t="s">
        <v>306</v>
      </c>
    </row>
    <row r="79" customFormat="false" ht="15.75" hidden="false" customHeight="true" outlineLevel="0" collapsed="false">
      <c r="A79" s="33" t="s">
        <v>307</v>
      </c>
      <c r="B79" s="33" t="s">
        <v>308</v>
      </c>
      <c r="C79" s="33" t="s">
        <v>108</v>
      </c>
      <c r="D79" s="33" t="s">
        <v>309</v>
      </c>
      <c r="E79" s="33" t="s">
        <v>57</v>
      </c>
      <c r="F79" s="34" t="s">
        <v>58</v>
      </c>
      <c r="G79" s="33" t="s">
        <v>59</v>
      </c>
      <c r="H79" s="34" t="s">
        <v>213</v>
      </c>
      <c r="I79" s="34" t="s">
        <v>214</v>
      </c>
      <c r="J79" s="33" t="s">
        <v>83</v>
      </c>
      <c r="K79" s="35" t="n">
        <v>152</v>
      </c>
      <c r="L79" s="36" t="n">
        <v>485.9</v>
      </c>
      <c r="M79" s="36" t="n">
        <v>560</v>
      </c>
      <c r="N79" s="36" t="n">
        <v>73856.8</v>
      </c>
      <c r="O79" s="36" t="n">
        <v>85120</v>
      </c>
      <c r="P79" s="36" t="n">
        <v>-11263.2</v>
      </c>
      <c r="Q79" s="34" t="s">
        <v>266</v>
      </c>
      <c r="R79" s="37" t="s">
        <v>101</v>
      </c>
      <c r="S79" s="34"/>
      <c r="T79" s="33" t="s">
        <v>306</v>
      </c>
    </row>
    <row r="80" customFormat="false" ht="15.75" hidden="false" customHeight="true" outlineLevel="0" collapsed="false">
      <c r="A80" s="28" t="s">
        <v>310</v>
      </c>
      <c r="B80" s="28" t="s">
        <v>311</v>
      </c>
      <c r="C80" s="28" t="s">
        <v>134</v>
      </c>
      <c r="D80" s="28" t="s">
        <v>312</v>
      </c>
      <c r="E80" s="28" t="s">
        <v>109</v>
      </c>
      <c r="F80" s="29" t="s">
        <v>110</v>
      </c>
      <c r="G80" s="28" t="s">
        <v>111</v>
      </c>
      <c r="H80" s="29" t="s">
        <v>112</v>
      </c>
      <c r="I80" s="29" t="s">
        <v>113</v>
      </c>
      <c r="J80" s="28" t="s">
        <v>83</v>
      </c>
      <c r="K80" s="30" t="n">
        <v>175</v>
      </c>
      <c r="L80" s="31" t="n">
        <v>245</v>
      </c>
      <c r="M80" s="31" t="n">
        <v>245</v>
      </c>
      <c r="N80" s="31" t="n">
        <v>42875</v>
      </c>
      <c r="O80" s="31" t="n">
        <v>42875</v>
      </c>
      <c r="P80" s="31" t="n">
        <v>0</v>
      </c>
      <c r="Q80" s="29"/>
      <c r="R80" s="32" t="s">
        <v>63</v>
      </c>
      <c r="S80" s="29"/>
      <c r="T80" s="28" t="s">
        <v>306</v>
      </c>
    </row>
    <row r="81" customFormat="false" ht="15.75" hidden="false" customHeight="true" outlineLevel="0" collapsed="false">
      <c r="A81" s="24" t="s">
        <v>313</v>
      </c>
      <c r="B81" s="24" t="s">
        <v>314</v>
      </c>
      <c r="C81" s="24" t="s">
        <v>189</v>
      </c>
      <c r="D81" s="24" t="s">
        <v>288</v>
      </c>
      <c r="E81" s="24" t="s">
        <v>57</v>
      </c>
      <c r="F81" s="21" t="s">
        <v>58</v>
      </c>
      <c r="G81" s="24" t="s">
        <v>59</v>
      </c>
      <c r="H81" s="21" t="s">
        <v>278</v>
      </c>
      <c r="I81" s="21" t="s">
        <v>279</v>
      </c>
      <c r="J81" s="24" t="s">
        <v>83</v>
      </c>
      <c r="K81" s="25" t="n">
        <v>81</v>
      </c>
      <c r="L81" s="26" t="n">
        <v>95</v>
      </c>
      <c r="M81" s="26" t="n">
        <v>95</v>
      </c>
      <c r="N81" s="26" t="n">
        <v>7695</v>
      </c>
      <c r="O81" s="26" t="n">
        <v>7695</v>
      </c>
      <c r="P81" s="26" t="n">
        <v>0</v>
      </c>
      <c r="Q81" s="21"/>
      <c r="R81" s="27" t="s">
        <v>63</v>
      </c>
      <c r="S81" s="21"/>
      <c r="T81" s="24" t="s">
        <v>306</v>
      </c>
    </row>
    <row r="82" customFormat="false" ht="15.75" hidden="false" customHeight="true" outlineLevel="0" collapsed="false">
      <c r="A82" s="28" t="s">
        <v>315</v>
      </c>
      <c r="B82" s="28" t="s">
        <v>316</v>
      </c>
      <c r="C82" s="28" t="s">
        <v>134</v>
      </c>
      <c r="D82" s="28" t="s">
        <v>317</v>
      </c>
      <c r="E82" s="28" t="s">
        <v>118</v>
      </c>
      <c r="F82" s="29" t="s">
        <v>119</v>
      </c>
      <c r="G82" s="28" t="s">
        <v>120</v>
      </c>
      <c r="H82" s="29" t="s">
        <v>213</v>
      </c>
      <c r="I82" s="29" t="s">
        <v>214</v>
      </c>
      <c r="J82" s="28" t="s">
        <v>83</v>
      </c>
      <c r="K82" s="30" t="n">
        <v>183</v>
      </c>
      <c r="L82" s="31" t="n">
        <v>560</v>
      </c>
      <c r="M82" s="31" t="n">
        <v>560</v>
      </c>
      <c r="N82" s="31" t="n">
        <v>102480</v>
      </c>
      <c r="O82" s="31" t="n">
        <v>102480</v>
      </c>
      <c r="P82" s="31" t="n">
        <v>0</v>
      </c>
      <c r="Q82" s="29"/>
      <c r="R82" s="32" t="s">
        <v>63</v>
      </c>
      <c r="S82" s="29"/>
      <c r="T82" s="28" t="s">
        <v>306</v>
      </c>
    </row>
    <row r="83" customFormat="false" ht="15.75" hidden="false" customHeight="true" outlineLevel="0" collapsed="false">
      <c r="A83" s="24" t="s">
        <v>318</v>
      </c>
      <c r="B83" s="24" t="s">
        <v>319</v>
      </c>
      <c r="C83" s="24" t="s">
        <v>108</v>
      </c>
      <c r="D83" s="24" t="s">
        <v>317</v>
      </c>
      <c r="E83" s="24" t="s">
        <v>109</v>
      </c>
      <c r="F83" s="21" t="s">
        <v>110</v>
      </c>
      <c r="G83" s="24" t="s">
        <v>111</v>
      </c>
      <c r="H83" s="21" t="s">
        <v>68</v>
      </c>
      <c r="I83" s="21" t="s">
        <v>69</v>
      </c>
      <c r="J83" s="24" t="s">
        <v>70</v>
      </c>
      <c r="K83" s="25" t="n">
        <v>102</v>
      </c>
      <c r="L83" s="26" t="n">
        <v>3.2</v>
      </c>
      <c r="M83" s="26" t="n">
        <v>3.2</v>
      </c>
      <c r="N83" s="26" t="n">
        <v>326.4</v>
      </c>
      <c r="O83" s="26" t="n">
        <v>326.4</v>
      </c>
      <c r="P83" s="26" t="n">
        <v>0</v>
      </c>
      <c r="Q83" s="21"/>
      <c r="R83" s="27" t="s">
        <v>63</v>
      </c>
      <c r="S83" s="21"/>
      <c r="T83" s="24" t="s">
        <v>306</v>
      </c>
    </row>
    <row r="84" customFormat="false" ht="15.75" hidden="false" customHeight="true" outlineLevel="0" collapsed="false">
      <c r="A84" s="28" t="s">
        <v>320</v>
      </c>
      <c r="B84" s="28" t="s">
        <v>321</v>
      </c>
      <c r="C84" s="28" t="s">
        <v>134</v>
      </c>
      <c r="D84" s="28" t="s">
        <v>322</v>
      </c>
      <c r="E84" s="28" t="s">
        <v>109</v>
      </c>
      <c r="F84" s="29" t="s">
        <v>110</v>
      </c>
      <c r="G84" s="28" t="s">
        <v>111</v>
      </c>
      <c r="H84" s="29" t="s">
        <v>81</v>
      </c>
      <c r="I84" s="29" t="s">
        <v>82</v>
      </c>
      <c r="J84" s="28" t="s">
        <v>83</v>
      </c>
      <c r="K84" s="30" t="n">
        <v>5</v>
      </c>
      <c r="L84" s="31" t="n">
        <v>38</v>
      </c>
      <c r="M84" s="31" t="n">
        <v>38</v>
      </c>
      <c r="N84" s="31" t="n">
        <v>190</v>
      </c>
      <c r="O84" s="31" t="n">
        <v>190</v>
      </c>
      <c r="P84" s="31" t="n">
        <v>0</v>
      </c>
      <c r="Q84" s="29"/>
      <c r="R84" s="32" t="s">
        <v>63</v>
      </c>
      <c r="S84" s="29"/>
      <c r="T84" s="28" t="s">
        <v>306</v>
      </c>
    </row>
    <row r="85" customFormat="false" ht="15.75" hidden="false" customHeight="true" outlineLevel="0" collapsed="false">
      <c r="A85" s="24" t="s">
        <v>323</v>
      </c>
      <c r="B85" s="24" t="s">
        <v>324</v>
      </c>
      <c r="C85" s="24" t="s">
        <v>134</v>
      </c>
      <c r="D85" s="24" t="s">
        <v>271</v>
      </c>
      <c r="E85" s="24" t="s">
        <v>87</v>
      </c>
      <c r="F85" s="21" t="s">
        <v>88</v>
      </c>
      <c r="G85" s="24" t="s">
        <v>89</v>
      </c>
      <c r="H85" s="21" t="s">
        <v>121</v>
      </c>
      <c r="I85" s="21" t="s">
        <v>122</v>
      </c>
      <c r="J85" s="24" t="s">
        <v>123</v>
      </c>
      <c r="K85" s="25" t="n">
        <v>172</v>
      </c>
      <c r="L85" s="26" t="n">
        <v>62</v>
      </c>
      <c r="M85" s="26" t="n">
        <v>62</v>
      </c>
      <c r="N85" s="26" t="n">
        <v>10664</v>
      </c>
      <c r="O85" s="26" t="n">
        <v>10664</v>
      </c>
      <c r="P85" s="26" t="n">
        <v>0</v>
      </c>
      <c r="Q85" s="21"/>
      <c r="R85" s="27" t="s">
        <v>63</v>
      </c>
      <c r="S85" s="21"/>
      <c r="T85" s="24" t="s">
        <v>306</v>
      </c>
    </row>
    <row r="86" customFormat="false" ht="15.75" hidden="false" customHeight="true" outlineLevel="0" collapsed="false">
      <c r="A86" s="33" t="s">
        <v>325</v>
      </c>
      <c r="B86" s="33" t="s">
        <v>326</v>
      </c>
      <c r="C86" s="33" t="s">
        <v>108</v>
      </c>
      <c r="D86" s="33" t="s">
        <v>312</v>
      </c>
      <c r="E86" s="33" t="s">
        <v>152</v>
      </c>
      <c r="F86" s="34" t="s">
        <v>153</v>
      </c>
      <c r="G86" s="33" t="s">
        <v>154</v>
      </c>
      <c r="H86" s="34" t="s">
        <v>81</v>
      </c>
      <c r="I86" s="34" t="s">
        <v>82</v>
      </c>
      <c r="J86" s="33" t="s">
        <v>83</v>
      </c>
      <c r="K86" s="35" t="n">
        <v>126</v>
      </c>
      <c r="L86" s="36" t="n">
        <v>43.39</v>
      </c>
      <c r="M86" s="36" t="n">
        <v>38</v>
      </c>
      <c r="N86" s="36" t="n">
        <v>5467.14</v>
      </c>
      <c r="O86" s="36" t="n">
        <v>4788</v>
      </c>
      <c r="P86" s="36" t="n">
        <v>679.14</v>
      </c>
      <c r="Q86" s="34" t="s">
        <v>202</v>
      </c>
      <c r="R86" s="37" t="s">
        <v>101</v>
      </c>
      <c r="S86" s="34"/>
      <c r="T86" s="33" t="s">
        <v>306</v>
      </c>
    </row>
    <row r="87" customFormat="false" ht="15.75" hidden="false" customHeight="true" outlineLevel="0" collapsed="false">
      <c r="A87" s="24" t="s">
        <v>327</v>
      </c>
      <c r="B87" s="24" t="s">
        <v>328</v>
      </c>
      <c r="C87" s="24" t="s">
        <v>108</v>
      </c>
      <c r="D87" s="24" t="s">
        <v>329</v>
      </c>
      <c r="E87" s="24" t="s">
        <v>152</v>
      </c>
      <c r="F87" s="21" t="s">
        <v>153</v>
      </c>
      <c r="G87" s="24" t="s">
        <v>154</v>
      </c>
      <c r="H87" s="21" t="s">
        <v>68</v>
      </c>
      <c r="I87" s="21" t="s">
        <v>69</v>
      </c>
      <c r="J87" s="24" t="s">
        <v>70</v>
      </c>
      <c r="K87" s="25" t="n">
        <v>84</v>
      </c>
      <c r="L87" s="26" t="n">
        <v>3.2</v>
      </c>
      <c r="M87" s="26" t="n">
        <v>3.2</v>
      </c>
      <c r="N87" s="26" t="n">
        <v>268.8</v>
      </c>
      <c r="O87" s="26" t="n">
        <v>268.8</v>
      </c>
      <c r="P87" s="26" t="n">
        <v>0</v>
      </c>
      <c r="Q87" s="21"/>
      <c r="R87" s="27" t="s">
        <v>63</v>
      </c>
      <c r="S87" s="21"/>
      <c r="T87" s="24" t="s">
        <v>306</v>
      </c>
    </row>
    <row r="88" customFormat="false" ht="15.75" hidden="false" customHeight="true" outlineLevel="0" collapsed="false">
      <c r="A88" s="28" t="s">
        <v>330</v>
      </c>
      <c r="B88" s="28" t="s">
        <v>331</v>
      </c>
      <c r="C88" s="28" t="s">
        <v>210</v>
      </c>
      <c r="D88" s="28" t="s">
        <v>305</v>
      </c>
      <c r="E88" s="28" t="s">
        <v>75</v>
      </c>
      <c r="F88" s="29" t="s">
        <v>76</v>
      </c>
      <c r="G88" s="28" t="s">
        <v>77</v>
      </c>
      <c r="H88" s="29" t="s">
        <v>60</v>
      </c>
      <c r="I88" s="29" t="s">
        <v>61</v>
      </c>
      <c r="J88" s="28" t="s">
        <v>62</v>
      </c>
      <c r="K88" s="30" t="n">
        <v>67</v>
      </c>
      <c r="L88" s="31" t="n">
        <v>12.5</v>
      </c>
      <c r="M88" s="31" t="n">
        <v>12.5</v>
      </c>
      <c r="N88" s="31" t="n">
        <v>837.5</v>
      </c>
      <c r="O88" s="31" t="n">
        <v>837.5</v>
      </c>
      <c r="P88" s="31" t="n">
        <v>0</v>
      </c>
      <c r="Q88" s="29"/>
      <c r="R88" s="32" t="s">
        <v>63</v>
      </c>
      <c r="S88" s="29"/>
      <c r="T88" s="28" t="s">
        <v>306</v>
      </c>
    </row>
    <row r="89" customFormat="false" ht="15.75" hidden="false" customHeight="true" outlineLevel="0" collapsed="false">
      <c r="A89" s="24" t="s">
        <v>332</v>
      </c>
      <c r="B89" s="24" t="s">
        <v>333</v>
      </c>
      <c r="C89" s="24" t="s">
        <v>189</v>
      </c>
      <c r="D89" s="24" t="s">
        <v>265</v>
      </c>
      <c r="E89" s="24" t="s">
        <v>57</v>
      </c>
      <c r="F89" s="21" t="s">
        <v>58</v>
      </c>
      <c r="G89" s="24" t="s">
        <v>59</v>
      </c>
      <c r="H89" s="21" t="s">
        <v>138</v>
      </c>
      <c r="I89" s="21" t="s">
        <v>139</v>
      </c>
      <c r="J89" s="24" t="s">
        <v>83</v>
      </c>
      <c r="K89" s="25" t="n">
        <v>111</v>
      </c>
      <c r="L89" s="26" t="n">
        <v>185</v>
      </c>
      <c r="M89" s="26" t="n">
        <v>185</v>
      </c>
      <c r="N89" s="26" t="n">
        <v>20535</v>
      </c>
      <c r="O89" s="26" t="n">
        <v>20535</v>
      </c>
      <c r="P89" s="26" t="n">
        <v>0</v>
      </c>
      <c r="Q89" s="21"/>
      <c r="R89" s="27" t="s">
        <v>63</v>
      </c>
      <c r="S89" s="21"/>
      <c r="T89" s="24" t="s">
        <v>306</v>
      </c>
    </row>
    <row r="90" customFormat="false" ht="15.75" hidden="false" customHeight="true" outlineLevel="0" collapsed="false">
      <c r="A90" s="28" t="s">
        <v>334</v>
      </c>
      <c r="B90" s="28" t="s">
        <v>335</v>
      </c>
      <c r="C90" s="28" t="s">
        <v>108</v>
      </c>
      <c r="D90" s="28" t="s">
        <v>192</v>
      </c>
      <c r="E90" s="28" t="s">
        <v>109</v>
      </c>
      <c r="F90" s="29" t="s">
        <v>110</v>
      </c>
      <c r="G90" s="28" t="s">
        <v>111</v>
      </c>
      <c r="H90" s="29" t="s">
        <v>138</v>
      </c>
      <c r="I90" s="29" t="s">
        <v>139</v>
      </c>
      <c r="J90" s="28" t="s">
        <v>83</v>
      </c>
      <c r="K90" s="30" t="n">
        <v>107</v>
      </c>
      <c r="L90" s="31" t="n">
        <v>185</v>
      </c>
      <c r="M90" s="31" t="n">
        <v>185</v>
      </c>
      <c r="N90" s="31" t="n">
        <v>19795</v>
      </c>
      <c r="O90" s="31" t="n">
        <v>19795</v>
      </c>
      <c r="P90" s="31" t="n">
        <v>0</v>
      </c>
      <c r="Q90" s="29"/>
      <c r="R90" s="32" t="s">
        <v>63</v>
      </c>
      <c r="S90" s="29"/>
      <c r="T90" s="28" t="s">
        <v>306</v>
      </c>
    </row>
    <row r="91" customFormat="false" ht="15.75" hidden="false" customHeight="true" outlineLevel="0" collapsed="false">
      <c r="A91" s="24" t="s">
        <v>336</v>
      </c>
      <c r="B91" s="24" t="s">
        <v>337</v>
      </c>
      <c r="C91" s="24" t="s">
        <v>108</v>
      </c>
      <c r="D91" s="24" t="s">
        <v>192</v>
      </c>
      <c r="E91" s="24" t="s">
        <v>75</v>
      </c>
      <c r="F91" s="21" t="s">
        <v>76</v>
      </c>
      <c r="G91" s="24" t="s">
        <v>77</v>
      </c>
      <c r="H91" s="21" t="s">
        <v>112</v>
      </c>
      <c r="I91" s="21" t="s">
        <v>113</v>
      </c>
      <c r="J91" s="24" t="s">
        <v>83</v>
      </c>
      <c r="K91" s="25" t="n">
        <v>113</v>
      </c>
      <c r="L91" s="26" t="n">
        <v>245</v>
      </c>
      <c r="M91" s="26" t="n">
        <v>245</v>
      </c>
      <c r="N91" s="26" t="n">
        <v>27685</v>
      </c>
      <c r="O91" s="26" t="n">
        <v>27685</v>
      </c>
      <c r="P91" s="26" t="n">
        <v>0</v>
      </c>
      <c r="Q91" s="21"/>
      <c r="R91" s="27" t="s">
        <v>63</v>
      </c>
      <c r="S91" s="21"/>
      <c r="T91" s="24" t="s">
        <v>306</v>
      </c>
    </row>
    <row r="92" customFormat="false" ht="15.75" hidden="false" customHeight="true" outlineLevel="0" collapsed="false">
      <c r="A92" s="28" t="s">
        <v>338</v>
      </c>
      <c r="B92" s="28" t="s">
        <v>339</v>
      </c>
      <c r="C92" s="28" t="s">
        <v>189</v>
      </c>
      <c r="D92" s="28" t="s">
        <v>265</v>
      </c>
      <c r="E92" s="28" t="s">
        <v>142</v>
      </c>
      <c r="F92" s="29" t="s">
        <v>143</v>
      </c>
      <c r="G92" s="28" t="s">
        <v>144</v>
      </c>
      <c r="H92" s="29" t="s">
        <v>138</v>
      </c>
      <c r="I92" s="29" t="s">
        <v>139</v>
      </c>
      <c r="J92" s="28" t="s">
        <v>83</v>
      </c>
      <c r="K92" s="30" t="n">
        <v>17</v>
      </c>
      <c r="L92" s="31" t="n">
        <v>185</v>
      </c>
      <c r="M92" s="31" t="n">
        <v>185</v>
      </c>
      <c r="N92" s="31" t="n">
        <v>3145</v>
      </c>
      <c r="O92" s="31" t="n">
        <v>3145</v>
      </c>
      <c r="P92" s="31" t="n">
        <v>0</v>
      </c>
      <c r="Q92" s="29"/>
      <c r="R92" s="32" t="s">
        <v>63</v>
      </c>
      <c r="S92" s="29"/>
      <c r="T92" s="28" t="s">
        <v>306</v>
      </c>
    </row>
    <row r="93" customFormat="false" ht="15.75" hidden="false" customHeight="true" outlineLevel="0" collapsed="false">
      <c r="A93" s="24" t="s">
        <v>340</v>
      </c>
      <c r="B93" s="24" t="s">
        <v>341</v>
      </c>
      <c r="C93" s="24" t="s">
        <v>210</v>
      </c>
      <c r="D93" s="24" t="s">
        <v>329</v>
      </c>
      <c r="E93" s="24" t="s">
        <v>57</v>
      </c>
      <c r="F93" s="21" t="s">
        <v>58</v>
      </c>
      <c r="G93" s="24" t="s">
        <v>59</v>
      </c>
      <c r="H93" s="21" t="s">
        <v>138</v>
      </c>
      <c r="I93" s="21" t="s">
        <v>139</v>
      </c>
      <c r="J93" s="24" t="s">
        <v>83</v>
      </c>
      <c r="K93" s="25" t="n">
        <v>39</v>
      </c>
      <c r="L93" s="26" t="n">
        <v>185</v>
      </c>
      <c r="M93" s="26" t="n">
        <v>185</v>
      </c>
      <c r="N93" s="26" t="n">
        <v>7215</v>
      </c>
      <c r="O93" s="26" t="n">
        <v>7215</v>
      </c>
      <c r="P93" s="26" t="n">
        <v>0</v>
      </c>
      <c r="Q93" s="21"/>
      <c r="R93" s="27" t="s">
        <v>63</v>
      </c>
      <c r="S93" s="21"/>
      <c r="T93" s="24" t="s">
        <v>306</v>
      </c>
    </row>
    <row r="94" customFormat="false" ht="15.75" hidden="false" customHeight="true" outlineLevel="0" collapsed="false">
      <c r="A94" s="28" t="s">
        <v>342</v>
      </c>
      <c r="B94" s="28" t="s">
        <v>343</v>
      </c>
      <c r="C94" s="28" t="s">
        <v>210</v>
      </c>
      <c r="D94" s="28" t="s">
        <v>305</v>
      </c>
      <c r="E94" s="28" t="s">
        <v>142</v>
      </c>
      <c r="F94" s="29" t="s">
        <v>143</v>
      </c>
      <c r="G94" s="28" t="s">
        <v>144</v>
      </c>
      <c r="H94" s="29" t="s">
        <v>121</v>
      </c>
      <c r="I94" s="29" t="s">
        <v>122</v>
      </c>
      <c r="J94" s="28" t="s">
        <v>123</v>
      </c>
      <c r="K94" s="30" t="n">
        <v>86</v>
      </c>
      <c r="L94" s="31" t="n">
        <v>62</v>
      </c>
      <c r="M94" s="31" t="n">
        <v>62</v>
      </c>
      <c r="N94" s="31" t="n">
        <v>5332</v>
      </c>
      <c r="O94" s="31" t="n">
        <v>5332</v>
      </c>
      <c r="P94" s="31" t="n">
        <v>0</v>
      </c>
      <c r="Q94" s="29"/>
      <c r="R94" s="32" t="s">
        <v>63</v>
      </c>
      <c r="S94" s="29"/>
      <c r="T94" s="28" t="s">
        <v>306</v>
      </c>
    </row>
    <row r="95" customFormat="false" ht="15.75" hidden="false" customHeight="true" outlineLevel="0" collapsed="false">
      <c r="A95" s="24" t="s">
        <v>344</v>
      </c>
      <c r="B95" s="24" t="s">
        <v>345</v>
      </c>
      <c r="C95" s="24" t="s">
        <v>210</v>
      </c>
      <c r="D95" s="24" t="s">
        <v>346</v>
      </c>
      <c r="E95" s="24" t="s">
        <v>142</v>
      </c>
      <c r="F95" s="21" t="s">
        <v>143</v>
      </c>
      <c r="G95" s="24" t="s">
        <v>144</v>
      </c>
      <c r="H95" s="21" t="s">
        <v>213</v>
      </c>
      <c r="I95" s="21" t="s">
        <v>214</v>
      </c>
      <c r="J95" s="24" t="s">
        <v>83</v>
      </c>
      <c r="K95" s="25" t="n">
        <v>145</v>
      </c>
      <c r="L95" s="26" t="n">
        <v>560</v>
      </c>
      <c r="M95" s="26" t="n">
        <v>560</v>
      </c>
      <c r="N95" s="26" t="n">
        <v>81200</v>
      </c>
      <c r="O95" s="26" t="n">
        <v>81200</v>
      </c>
      <c r="P95" s="26" t="n">
        <v>0</v>
      </c>
      <c r="Q95" s="21"/>
      <c r="R95" s="27" t="s">
        <v>63</v>
      </c>
      <c r="S95" s="21"/>
      <c r="T95" s="24" t="s">
        <v>306</v>
      </c>
    </row>
    <row r="96" customFormat="false" ht="15.75" hidden="false" customHeight="true" outlineLevel="0" collapsed="false">
      <c r="A96" s="28" t="s">
        <v>347</v>
      </c>
      <c r="B96" s="28" t="s">
        <v>348</v>
      </c>
      <c r="C96" s="28" t="s">
        <v>108</v>
      </c>
      <c r="D96" s="28" t="s">
        <v>349</v>
      </c>
      <c r="E96" s="28" t="s">
        <v>223</v>
      </c>
      <c r="F96" s="29" t="s">
        <v>224</v>
      </c>
      <c r="G96" s="28" t="s">
        <v>225</v>
      </c>
      <c r="H96" s="29" t="s">
        <v>138</v>
      </c>
      <c r="I96" s="29" t="s">
        <v>139</v>
      </c>
      <c r="J96" s="28" t="s">
        <v>83</v>
      </c>
      <c r="K96" s="30" t="n">
        <v>71</v>
      </c>
      <c r="L96" s="31" t="n">
        <v>185</v>
      </c>
      <c r="M96" s="31" t="n">
        <v>185</v>
      </c>
      <c r="N96" s="31" t="n">
        <v>13135</v>
      </c>
      <c r="O96" s="31" t="n">
        <v>13135</v>
      </c>
      <c r="P96" s="31" t="n">
        <v>0</v>
      </c>
      <c r="Q96" s="29"/>
      <c r="R96" s="32" t="s">
        <v>63</v>
      </c>
      <c r="S96" s="29"/>
      <c r="T96" s="28" t="s">
        <v>306</v>
      </c>
    </row>
    <row r="97" customFormat="false" ht="15.75" hidden="false" customHeight="true" outlineLevel="0" collapsed="false">
      <c r="A97" s="24" t="s">
        <v>350</v>
      </c>
      <c r="B97" s="24" t="s">
        <v>351</v>
      </c>
      <c r="C97" s="24" t="s">
        <v>108</v>
      </c>
      <c r="D97" s="24" t="s">
        <v>309</v>
      </c>
      <c r="E97" s="24" t="s">
        <v>142</v>
      </c>
      <c r="F97" s="21" t="s">
        <v>143</v>
      </c>
      <c r="G97" s="24" t="s">
        <v>144</v>
      </c>
      <c r="H97" s="21" t="s">
        <v>138</v>
      </c>
      <c r="I97" s="21" t="s">
        <v>139</v>
      </c>
      <c r="J97" s="24" t="s">
        <v>83</v>
      </c>
      <c r="K97" s="25" t="n">
        <v>165</v>
      </c>
      <c r="L97" s="26" t="n">
        <v>185</v>
      </c>
      <c r="M97" s="26" t="n">
        <v>185</v>
      </c>
      <c r="N97" s="26" t="n">
        <v>30525</v>
      </c>
      <c r="O97" s="26" t="n">
        <v>30525</v>
      </c>
      <c r="P97" s="26" t="n">
        <v>0</v>
      </c>
      <c r="Q97" s="21"/>
      <c r="R97" s="27" t="s">
        <v>63</v>
      </c>
      <c r="S97" s="21"/>
      <c r="T97" s="24" t="s">
        <v>306</v>
      </c>
    </row>
    <row r="98" customFormat="false" ht="15.75" hidden="false" customHeight="true" outlineLevel="0" collapsed="false">
      <c r="A98" s="28" t="s">
        <v>352</v>
      </c>
      <c r="B98" s="28" t="s">
        <v>353</v>
      </c>
      <c r="C98" s="28" t="s">
        <v>134</v>
      </c>
      <c r="D98" s="28" t="s">
        <v>265</v>
      </c>
      <c r="E98" s="28" t="s">
        <v>95</v>
      </c>
      <c r="F98" s="29" t="s">
        <v>96</v>
      </c>
      <c r="G98" s="28" t="s">
        <v>97</v>
      </c>
      <c r="H98" s="29" t="s">
        <v>145</v>
      </c>
      <c r="I98" s="29" t="s">
        <v>146</v>
      </c>
      <c r="J98" s="28" t="s">
        <v>83</v>
      </c>
      <c r="K98" s="30" t="n">
        <v>74</v>
      </c>
      <c r="L98" s="31" t="n">
        <v>320</v>
      </c>
      <c r="M98" s="31" t="n">
        <v>320</v>
      </c>
      <c r="N98" s="31" t="n">
        <v>23680</v>
      </c>
      <c r="O98" s="31" t="n">
        <v>23680</v>
      </c>
      <c r="P98" s="31" t="n">
        <v>0</v>
      </c>
      <c r="Q98" s="29"/>
      <c r="R98" s="32" t="s">
        <v>63</v>
      </c>
      <c r="S98" s="29"/>
      <c r="T98" s="28" t="s">
        <v>306</v>
      </c>
    </row>
    <row r="99" customFormat="false" ht="15.75" hidden="false" customHeight="true" outlineLevel="0" collapsed="false">
      <c r="A99" s="24" t="s">
        <v>354</v>
      </c>
      <c r="B99" s="24" t="s">
        <v>355</v>
      </c>
      <c r="C99" s="24" t="s">
        <v>108</v>
      </c>
      <c r="D99" s="24" t="s">
        <v>265</v>
      </c>
      <c r="E99" s="24" t="s">
        <v>57</v>
      </c>
      <c r="F99" s="21" t="s">
        <v>58</v>
      </c>
      <c r="G99" s="24" t="s">
        <v>59</v>
      </c>
      <c r="H99" s="21" t="s">
        <v>98</v>
      </c>
      <c r="I99" s="21" t="s">
        <v>99</v>
      </c>
      <c r="J99" s="24" t="s">
        <v>83</v>
      </c>
      <c r="K99" s="25" t="n">
        <v>43</v>
      </c>
      <c r="L99" s="26" t="n">
        <v>189</v>
      </c>
      <c r="M99" s="26" t="n">
        <v>189</v>
      </c>
      <c r="N99" s="26" t="n">
        <v>8127</v>
      </c>
      <c r="O99" s="26" t="n">
        <v>8127</v>
      </c>
      <c r="P99" s="26" t="n">
        <v>0</v>
      </c>
      <c r="Q99" s="21"/>
      <c r="R99" s="27" t="s">
        <v>63</v>
      </c>
      <c r="S99" s="21"/>
      <c r="T99" s="24" t="s">
        <v>306</v>
      </c>
    </row>
    <row r="100" customFormat="false" ht="15.75" hidden="false" customHeight="true" outlineLevel="0" collapsed="false">
      <c r="A100" s="28" t="s">
        <v>356</v>
      </c>
      <c r="B100" s="28" t="s">
        <v>357</v>
      </c>
      <c r="C100" s="28" t="s">
        <v>210</v>
      </c>
      <c r="D100" s="28" t="s">
        <v>288</v>
      </c>
      <c r="E100" s="28" t="s">
        <v>152</v>
      </c>
      <c r="F100" s="29" t="s">
        <v>153</v>
      </c>
      <c r="G100" s="28" t="s">
        <v>154</v>
      </c>
      <c r="H100" s="29" t="s">
        <v>112</v>
      </c>
      <c r="I100" s="29" t="s">
        <v>113</v>
      </c>
      <c r="J100" s="28" t="s">
        <v>83</v>
      </c>
      <c r="K100" s="30" t="n">
        <v>111</v>
      </c>
      <c r="L100" s="31" t="n">
        <v>245</v>
      </c>
      <c r="M100" s="31" t="n">
        <v>245</v>
      </c>
      <c r="N100" s="31" t="n">
        <v>27195</v>
      </c>
      <c r="O100" s="31" t="n">
        <v>27195</v>
      </c>
      <c r="P100" s="31" t="n">
        <v>0</v>
      </c>
      <c r="Q100" s="29"/>
      <c r="R100" s="32" t="s">
        <v>63</v>
      </c>
      <c r="S100" s="29"/>
      <c r="T100" s="28" t="s">
        <v>306</v>
      </c>
    </row>
    <row r="101" customFormat="false" ht="15.75" hidden="false" customHeight="true" outlineLevel="0" collapsed="false">
      <c r="A101" s="24" t="s">
        <v>358</v>
      </c>
      <c r="B101" s="24" t="s">
        <v>359</v>
      </c>
      <c r="C101" s="24" t="s">
        <v>210</v>
      </c>
      <c r="D101" s="24" t="s">
        <v>271</v>
      </c>
      <c r="E101" s="24" t="s">
        <v>109</v>
      </c>
      <c r="F101" s="21" t="s">
        <v>110</v>
      </c>
      <c r="G101" s="24" t="s">
        <v>111</v>
      </c>
      <c r="H101" s="21" t="s">
        <v>60</v>
      </c>
      <c r="I101" s="21" t="s">
        <v>61</v>
      </c>
      <c r="J101" s="24" t="s">
        <v>62</v>
      </c>
      <c r="K101" s="25" t="n">
        <v>57</v>
      </c>
      <c r="L101" s="26" t="n">
        <v>12.5</v>
      </c>
      <c r="M101" s="26" t="n">
        <v>12.5</v>
      </c>
      <c r="N101" s="26" t="n">
        <v>712.5</v>
      </c>
      <c r="O101" s="26" t="n">
        <v>712.5</v>
      </c>
      <c r="P101" s="26" t="n">
        <v>0</v>
      </c>
      <c r="Q101" s="21"/>
      <c r="R101" s="27" t="s">
        <v>63</v>
      </c>
      <c r="S101" s="21"/>
      <c r="T101" s="24" t="s">
        <v>306</v>
      </c>
    </row>
    <row r="102" customFormat="false" ht="15.75" hidden="false" customHeight="true" outlineLevel="0" collapsed="false">
      <c r="A102" s="28" t="s">
        <v>360</v>
      </c>
      <c r="B102" s="28" t="s">
        <v>361</v>
      </c>
      <c r="C102" s="28" t="s">
        <v>189</v>
      </c>
      <c r="D102" s="28" t="s">
        <v>317</v>
      </c>
      <c r="E102" s="28" t="s">
        <v>87</v>
      </c>
      <c r="F102" s="29" t="s">
        <v>88</v>
      </c>
      <c r="G102" s="28" t="s">
        <v>89</v>
      </c>
      <c r="H102" s="29" t="s">
        <v>278</v>
      </c>
      <c r="I102" s="29" t="s">
        <v>279</v>
      </c>
      <c r="J102" s="28" t="s">
        <v>83</v>
      </c>
      <c r="K102" s="30" t="n">
        <v>10</v>
      </c>
      <c r="L102" s="31" t="n">
        <v>95</v>
      </c>
      <c r="M102" s="31" t="n">
        <v>95</v>
      </c>
      <c r="N102" s="31" t="n">
        <v>950</v>
      </c>
      <c r="O102" s="31" t="n">
        <v>950</v>
      </c>
      <c r="P102" s="31" t="n">
        <v>0</v>
      </c>
      <c r="Q102" s="29"/>
      <c r="R102" s="32" t="s">
        <v>63</v>
      </c>
      <c r="S102" s="29"/>
      <c r="T102" s="28" t="s">
        <v>306</v>
      </c>
    </row>
    <row r="103" customFormat="false" ht="15.75" hidden="false" customHeight="true" outlineLevel="0" collapsed="false">
      <c r="A103" s="24" t="s">
        <v>362</v>
      </c>
      <c r="B103" s="24" t="s">
        <v>363</v>
      </c>
      <c r="C103" s="24" t="s">
        <v>192</v>
      </c>
      <c r="D103" s="24" t="s">
        <v>364</v>
      </c>
      <c r="E103" s="24" t="s">
        <v>118</v>
      </c>
      <c r="F103" s="21" t="s">
        <v>119</v>
      </c>
      <c r="G103" s="24" t="s">
        <v>120</v>
      </c>
      <c r="H103" s="21" t="s">
        <v>90</v>
      </c>
      <c r="I103" s="21" t="s">
        <v>91</v>
      </c>
      <c r="J103" s="24" t="s">
        <v>70</v>
      </c>
      <c r="K103" s="25" t="n">
        <v>197</v>
      </c>
      <c r="L103" s="26" t="n">
        <v>8.75</v>
      </c>
      <c r="M103" s="26" t="n">
        <v>8.75</v>
      </c>
      <c r="N103" s="26" t="n">
        <v>1723.75</v>
      </c>
      <c r="O103" s="26" t="n">
        <v>1723.75</v>
      </c>
      <c r="P103" s="26" t="n">
        <v>0</v>
      </c>
      <c r="Q103" s="21"/>
      <c r="R103" s="27" t="s">
        <v>63</v>
      </c>
      <c r="S103" s="21"/>
      <c r="T103" s="24" t="s">
        <v>365</v>
      </c>
    </row>
    <row r="104" customFormat="false" ht="15.75" hidden="false" customHeight="true" outlineLevel="0" collapsed="false">
      <c r="A104" s="28" t="s">
        <v>366</v>
      </c>
      <c r="B104" s="28" t="s">
        <v>367</v>
      </c>
      <c r="C104" s="28" t="s">
        <v>259</v>
      </c>
      <c r="D104" s="28" t="s">
        <v>364</v>
      </c>
      <c r="E104" s="28" t="s">
        <v>109</v>
      </c>
      <c r="F104" s="29" t="s">
        <v>110</v>
      </c>
      <c r="G104" s="28" t="s">
        <v>111</v>
      </c>
      <c r="H104" s="29" t="s">
        <v>81</v>
      </c>
      <c r="I104" s="29" t="s">
        <v>82</v>
      </c>
      <c r="J104" s="28" t="s">
        <v>83</v>
      </c>
      <c r="K104" s="30" t="n">
        <v>196</v>
      </c>
      <c r="L104" s="31" t="n">
        <v>38</v>
      </c>
      <c r="M104" s="31" t="n">
        <v>38</v>
      </c>
      <c r="N104" s="31" t="n">
        <v>7448</v>
      </c>
      <c r="O104" s="31" t="n">
        <v>7448</v>
      </c>
      <c r="P104" s="31" t="n">
        <v>0</v>
      </c>
      <c r="Q104" s="29"/>
      <c r="R104" s="32" t="s">
        <v>63</v>
      </c>
      <c r="S104" s="29"/>
      <c r="T104" s="28" t="s">
        <v>365</v>
      </c>
    </row>
    <row r="105" customFormat="false" ht="15.75" hidden="false" customHeight="true" outlineLevel="0" collapsed="false">
      <c r="A105" s="24" t="s">
        <v>368</v>
      </c>
      <c r="B105" s="24" t="s">
        <v>369</v>
      </c>
      <c r="C105" s="24" t="s">
        <v>370</v>
      </c>
      <c r="D105" s="24" t="s">
        <v>371</v>
      </c>
      <c r="E105" s="24" t="s">
        <v>152</v>
      </c>
      <c r="F105" s="21" t="s">
        <v>153</v>
      </c>
      <c r="G105" s="24" t="s">
        <v>154</v>
      </c>
      <c r="H105" s="21" t="s">
        <v>138</v>
      </c>
      <c r="I105" s="21" t="s">
        <v>139</v>
      </c>
      <c r="J105" s="24" t="s">
        <v>83</v>
      </c>
      <c r="K105" s="25" t="n">
        <v>61</v>
      </c>
      <c r="L105" s="26" t="n">
        <v>185</v>
      </c>
      <c r="M105" s="26" t="n">
        <v>185</v>
      </c>
      <c r="N105" s="26" t="n">
        <v>11285</v>
      </c>
      <c r="O105" s="26" t="n">
        <v>11285</v>
      </c>
      <c r="P105" s="26" t="n">
        <v>0</v>
      </c>
      <c r="Q105" s="21"/>
      <c r="R105" s="27" t="s">
        <v>63</v>
      </c>
      <c r="S105" s="21"/>
      <c r="T105" s="24" t="s">
        <v>365</v>
      </c>
    </row>
    <row r="106" customFormat="false" ht="15.75" hidden="false" customHeight="true" outlineLevel="0" collapsed="false">
      <c r="A106" s="28" t="s">
        <v>372</v>
      </c>
      <c r="B106" s="28" t="s">
        <v>373</v>
      </c>
      <c r="C106" s="28" t="s">
        <v>192</v>
      </c>
      <c r="D106" s="28" t="s">
        <v>374</v>
      </c>
      <c r="E106" s="28" t="s">
        <v>109</v>
      </c>
      <c r="F106" s="29" t="s">
        <v>110</v>
      </c>
      <c r="G106" s="28" t="s">
        <v>111</v>
      </c>
      <c r="H106" s="29" t="s">
        <v>161</v>
      </c>
      <c r="I106" s="29" t="s">
        <v>162</v>
      </c>
      <c r="J106" s="28" t="s">
        <v>83</v>
      </c>
      <c r="K106" s="30" t="n">
        <v>176</v>
      </c>
      <c r="L106" s="31" t="n">
        <v>45</v>
      </c>
      <c r="M106" s="31" t="n">
        <v>45</v>
      </c>
      <c r="N106" s="31" t="n">
        <v>7920</v>
      </c>
      <c r="O106" s="31" t="n">
        <v>7920</v>
      </c>
      <c r="P106" s="31" t="n">
        <v>0</v>
      </c>
      <c r="Q106" s="29"/>
      <c r="R106" s="32" t="s">
        <v>63</v>
      </c>
      <c r="S106" s="29"/>
      <c r="T106" s="28" t="s">
        <v>365</v>
      </c>
    </row>
    <row r="107" customFormat="false" ht="15.75" hidden="false" customHeight="true" outlineLevel="0" collapsed="false">
      <c r="A107" s="24" t="s">
        <v>375</v>
      </c>
      <c r="B107" s="24" t="s">
        <v>376</v>
      </c>
      <c r="C107" s="24" t="s">
        <v>259</v>
      </c>
      <c r="D107" s="24" t="s">
        <v>312</v>
      </c>
      <c r="E107" s="24" t="s">
        <v>223</v>
      </c>
      <c r="F107" s="21" t="s">
        <v>224</v>
      </c>
      <c r="G107" s="24" t="s">
        <v>225</v>
      </c>
      <c r="H107" s="21" t="s">
        <v>98</v>
      </c>
      <c r="I107" s="21" t="s">
        <v>99</v>
      </c>
      <c r="J107" s="24" t="s">
        <v>83</v>
      </c>
      <c r="K107" s="25" t="n">
        <v>164</v>
      </c>
      <c r="L107" s="26" t="n">
        <v>189</v>
      </c>
      <c r="M107" s="26" t="n">
        <v>189</v>
      </c>
      <c r="N107" s="26" t="n">
        <v>30996</v>
      </c>
      <c r="O107" s="26" t="n">
        <v>30996</v>
      </c>
      <c r="P107" s="26" t="n">
        <v>0</v>
      </c>
      <c r="Q107" s="21"/>
      <c r="R107" s="27" t="s">
        <v>63</v>
      </c>
      <c r="S107" s="21"/>
      <c r="T107" s="24" t="s">
        <v>365</v>
      </c>
    </row>
    <row r="108" customFormat="false" ht="15.75" hidden="false" customHeight="true" outlineLevel="0" collapsed="false">
      <c r="A108" s="28" t="s">
        <v>377</v>
      </c>
      <c r="B108" s="28" t="s">
        <v>378</v>
      </c>
      <c r="C108" s="28" t="s">
        <v>179</v>
      </c>
      <c r="D108" s="28" t="s">
        <v>288</v>
      </c>
      <c r="E108" s="28" t="s">
        <v>87</v>
      </c>
      <c r="F108" s="29" t="s">
        <v>88</v>
      </c>
      <c r="G108" s="28" t="s">
        <v>89</v>
      </c>
      <c r="H108" s="29" t="s">
        <v>121</v>
      </c>
      <c r="I108" s="29" t="s">
        <v>122</v>
      </c>
      <c r="J108" s="28" t="s">
        <v>123</v>
      </c>
      <c r="K108" s="30" t="n">
        <v>174</v>
      </c>
      <c r="L108" s="31" t="n">
        <v>62</v>
      </c>
      <c r="M108" s="31" t="n">
        <v>62</v>
      </c>
      <c r="N108" s="31" t="n">
        <v>10788</v>
      </c>
      <c r="O108" s="31" t="n">
        <v>10788</v>
      </c>
      <c r="P108" s="31" t="n">
        <v>0</v>
      </c>
      <c r="Q108" s="29"/>
      <c r="R108" s="32" t="s">
        <v>63</v>
      </c>
      <c r="S108" s="29"/>
      <c r="T108" s="28" t="s">
        <v>365</v>
      </c>
    </row>
    <row r="109" customFormat="false" ht="15.75" hidden="false" customHeight="true" outlineLevel="0" collapsed="false">
      <c r="A109" s="24" t="s">
        <v>379</v>
      </c>
      <c r="B109" s="24" t="s">
        <v>380</v>
      </c>
      <c r="C109" s="24" t="s">
        <v>179</v>
      </c>
      <c r="D109" s="24" t="s">
        <v>312</v>
      </c>
      <c r="E109" s="24" t="s">
        <v>135</v>
      </c>
      <c r="F109" s="21" t="s">
        <v>136</v>
      </c>
      <c r="G109" s="24" t="s">
        <v>137</v>
      </c>
      <c r="H109" s="21" t="s">
        <v>138</v>
      </c>
      <c r="I109" s="21" t="s">
        <v>139</v>
      </c>
      <c r="J109" s="24" t="s">
        <v>83</v>
      </c>
      <c r="K109" s="25" t="n">
        <v>51</v>
      </c>
      <c r="L109" s="26" t="n">
        <v>185</v>
      </c>
      <c r="M109" s="26" t="n">
        <v>185</v>
      </c>
      <c r="N109" s="26" t="n">
        <v>9435</v>
      </c>
      <c r="O109" s="26" t="n">
        <v>9435</v>
      </c>
      <c r="P109" s="26" t="n">
        <v>0</v>
      </c>
      <c r="Q109" s="21"/>
      <c r="R109" s="27" t="s">
        <v>63</v>
      </c>
      <c r="S109" s="21"/>
      <c r="T109" s="24" t="s">
        <v>365</v>
      </c>
    </row>
    <row r="110" customFormat="false" ht="15.75" hidden="false" customHeight="true" outlineLevel="0" collapsed="false">
      <c r="A110" s="28" t="s">
        <v>381</v>
      </c>
      <c r="B110" s="28" t="s">
        <v>382</v>
      </c>
      <c r="C110" s="28" t="s">
        <v>370</v>
      </c>
      <c r="D110" s="28" t="s">
        <v>374</v>
      </c>
      <c r="E110" s="28" t="s">
        <v>152</v>
      </c>
      <c r="F110" s="29" t="s">
        <v>153</v>
      </c>
      <c r="G110" s="28" t="s">
        <v>154</v>
      </c>
      <c r="H110" s="29" t="s">
        <v>138</v>
      </c>
      <c r="I110" s="29" t="s">
        <v>139</v>
      </c>
      <c r="J110" s="28" t="s">
        <v>83</v>
      </c>
      <c r="K110" s="30" t="n">
        <v>88</v>
      </c>
      <c r="L110" s="31" t="n">
        <v>185</v>
      </c>
      <c r="M110" s="31" t="n">
        <v>185</v>
      </c>
      <c r="N110" s="31" t="n">
        <v>16280</v>
      </c>
      <c r="O110" s="31" t="n">
        <v>16280</v>
      </c>
      <c r="P110" s="31" t="n">
        <v>0</v>
      </c>
      <c r="Q110" s="29"/>
      <c r="R110" s="32" t="s">
        <v>63</v>
      </c>
      <c r="S110" s="29"/>
      <c r="T110" s="28" t="s">
        <v>365</v>
      </c>
    </row>
    <row r="111" customFormat="false" ht="15.75" hidden="false" customHeight="true" outlineLevel="0" collapsed="false">
      <c r="A111" s="33" t="s">
        <v>383</v>
      </c>
      <c r="B111" s="33" t="s">
        <v>384</v>
      </c>
      <c r="C111" s="33" t="s">
        <v>179</v>
      </c>
      <c r="D111" s="33" t="s">
        <v>349</v>
      </c>
      <c r="E111" s="33" t="s">
        <v>95</v>
      </c>
      <c r="F111" s="34" t="s">
        <v>96</v>
      </c>
      <c r="G111" s="33" t="s">
        <v>97</v>
      </c>
      <c r="H111" s="34" t="s">
        <v>213</v>
      </c>
      <c r="I111" s="34" t="s">
        <v>214</v>
      </c>
      <c r="J111" s="33" t="s">
        <v>83</v>
      </c>
      <c r="K111" s="35" t="n">
        <v>69</v>
      </c>
      <c r="L111" s="36" t="n">
        <v>641.05</v>
      </c>
      <c r="M111" s="36" t="n">
        <v>560</v>
      </c>
      <c r="N111" s="36" t="n">
        <v>44232.45</v>
      </c>
      <c r="O111" s="36" t="n">
        <v>38640</v>
      </c>
      <c r="P111" s="36" t="n">
        <v>5592.45</v>
      </c>
      <c r="Q111" s="34" t="s">
        <v>183</v>
      </c>
      <c r="R111" s="37" t="s">
        <v>101</v>
      </c>
      <c r="S111" s="34"/>
      <c r="T111" s="33" t="s">
        <v>365</v>
      </c>
    </row>
    <row r="112" customFormat="false" ht="15.75" hidden="false" customHeight="true" outlineLevel="0" collapsed="false">
      <c r="A112" s="28" t="s">
        <v>385</v>
      </c>
      <c r="B112" s="28" t="s">
        <v>386</v>
      </c>
      <c r="C112" s="28" t="s">
        <v>179</v>
      </c>
      <c r="D112" s="28" t="s">
        <v>317</v>
      </c>
      <c r="E112" s="28" t="s">
        <v>57</v>
      </c>
      <c r="F112" s="29" t="s">
        <v>58</v>
      </c>
      <c r="G112" s="28" t="s">
        <v>59</v>
      </c>
      <c r="H112" s="29" t="s">
        <v>68</v>
      </c>
      <c r="I112" s="29" t="s">
        <v>69</v>
      </c>
      <c r="J112" s="28" t="s">
        <v>70</v>
      </c>
      <c r="K112" s="30" t="n">
        <v>15</v>
      </c>
      <c r="L112" s="31" t="n">
        <v>3.2</v>
      </c>
      <c r="M112" s="31" t="n">
        <v>3.2</v>
      </c>
      <c r="N112" s="31" t="n">
        <v>48</v>
      </c>
      <c r="O112" s="31" t="n">
        <v>48</v>
      </c>
      <c r="P112" s="31" t="n">
        <v>0</v>
      </c>
      <c r="Q112" s="29"/>
      <c r="R112" s="32" t="s">
        <v>63</v>
      </c>
      <c r="S112" s="29"/>
      <c r="T112" s="28" t="s">
        <v>365</v>
      </c>
    </row>
    <row r="113" customFormat="false" ht="15.75" hidden="false" customHeight="true" outlineLevel="0" collapsed="false">
      <c r="A113" s="24" t="s">
        <v>387</v>
      </c>
      <c r="B113" s="24" t="s">
        <v>388</v>
      </c>
      <c r="C113" s="24" t="s">
        <v>262</v>
      </c>
      <c r="D113" s="24" t="s">
        <v>317</v>
      </c>
      <c r="E113" s="24" t="s">
        <v>75</v>
      </c>
      <c r="F113" s="21" t="s">
        <v>76</v>
      </c>
      <c r="G113" s="24" t="s">
        <v>77</v>
      </c>
      <c r="H113" s="21" t="s">
        <v>121</v>
      </c>
      <c r="I113" s="21" t="s">
        <v>122</v>
      </c>
      <c r="J113" s="24" t="s">
        <v>123</v>
      </c>
      <c r="K113" s="25" t="n">
        <v>44</v>
      </c>
      <c r="L113" s="26" t="n">
        <v>62</v>
      </c>
      <c r="M113" s="26" t="n">
        <v>62</v>
      </c>
      <c r="N113" s="26" t="n">
        <v>2728</v>
      </c>
      <c r="O113" s="26" t="n">
        <v>2728</v>
      </c>
      <c r="P113" s="26" t="n">
        <v>0</v>
      </c>
      <c r="Q113" s="21"/>
      <c r="R113" s="27" t="s">
        <v>63</v>
      </c>
      <c r="S113" s="21"/>
      <c r="T113" s="24" t="s">
        <v>365</v>
      </c>
    </row>
    <row r="114" customFormat="false" ht="15.75" hidden="false" customHeight="true" outlineLevel="0" collapsed="false">
      <c r="A114" s="28" t="s">
        <v>389</v>
      </c>
      <c r="B114" s="28" t="s">
        <v>390</v>
      </c>
      <c r="C114" s="28" t="s">
        <v>192</v>
      </c>
      <c r="D114" s="28" t="s">
        <v>374</v>
      </c>
      <c r="E114" s="28" t="s">
        <v>57</v>
      </c>
      <c r="F114" s="29" t="s">
        <v>58</v>
      </c>
      <c r="G114" s="28" t="s">
        <v>59</v>
      </c>
      <c r="H114" s="29" t="s">
        <v>121</v>
      </c>
      <c r="I114" s="29" t="s">
        <v>122</v>
      </c>
      <c r="J114" s="28" t="s">
        <v>123</v>
      </c>
      <c r="K114" s="30" t="n">
        <v>60</v>
      </c>
      <c r="L114" s="31" t="n">
        <v>62</v>
      </c>
      <c r="M114" s="31" t="n">
        <v>62</v>
      </c>
      <c r="N114" s="31" t="n">
        <v>3720</v>
      </c>
      <c r="O114" s="31" t="n">
        <v>3720</v>
      </c>
      <c r="P114" s="31" t="n">
        <v>0</v>
      </c>
      <c r="Q114" s="29"/>
      <c r="R114" s="32" t="s">
        <v>63</v>
      </c>
      <c r="S114" s="29"/>
      <c r="T114" s="28" t="s">
        <v>365</v>
      </c>
    </row>
    <row r="115" customFormat="false" ht="15.75" hidden="false" customHeight="true" outlineLevel="0" collapsed="false">
      <c r="A115" s="24" t="s">
        <v>391</v>
      </c>
      <c r="B115" s="24" t="s">
        <v>392</v>
      </c>
      <c r="C115" s="24" t="s">
        <v>259</v>
      </c>
      <c r="D115" s="24" t="s">
        <v>393</v>
      </c>
      <c r="E115" s="24" t="s">
        <v>118</v>
      </c>
      <c r="F115" s="21" t="s">
        <v>119</v>
      </c>
      <c r="G115" s="24" t="s">
        <v>120</v>
      </c>
      <c r="H115" s="21" t="s">
        <v>98</v>
      </c>
      <c r="I115" s="21" t="s">
        <v>99</v>
      </c>
      <c r="J115" s="24" t="s">
        <v>83</v>
      </c>
      <c r="K115" s="25" t="n">
        <v>160</v>
      </c>
      <c r="L115" s="26" t="n">
        <v>189</v>
      </c>
      <c r="M115" s="26" t="n">
        <v>189</v>
      </c>
      <c r="N115" s="26" t="n">
        <v>30240</v>
      </c>
      <c r="O115" s="26" t="n">
        <v>30240</v>
      </c>
      <c r="P115" s="26" t="n">
        <v>0</v>
      </c>
      <c r="Q115" s="21"/>
      <c r="R115" s="27" t="s">
        <v>63</v>
      </c>
      <c r="S115" s="21"/>
      <c r="T115" s="24" t="s">
        <v>365</v>
      </c>
    </row>
    <row r="116" customFormat="false" ht="15.75" hidden="false" customHeight="true" outlineLevel="0" collapsed="false">
      <c r="A116" s="28" t="s">
        <v>394</v>
      </c>
      <c r="B116" s="28" t="s">
        <v>395</v>
      </c>
      <c r="C116" s="28" t="s">
        <v>259</v>
      </c>
      <c r="D116" s="28" t="s">
        <v>312</v>
      </c>
      <c r="E116" s="28" t="s">
        <v>135</v>
      </c>
      <c r="F116" s="29" t="s">
        <v>136</v>
      </c>
      <c r="G116" s="28" t="s">
        <v>137</v>
      </c>
      <c r="H116" s="29" t="s">
        <v>90</v>
      </c>
      <c r="I116" s="29" t="s">
        <v>91</v>
      </c>
      <c r="J116" s="28" t="s">
        <v>70</v>
      </c>
      <c r="K116" s="30" t="n">
        <v>32</v>
      </c>
      <c r="L116" s="31" t="n">
        <v>8.75</v>
      </c>
      <c r="M116" s="31" t="n">
        <v>8.75</v>
      </c>
      <c r="N116" s="31" t="n">
        <v>280</v>
      </c>
      <c r="O116" s="31" t="n">
        <v>280</v>
      </c>
      <c r="P116" s="31" t="n">
        <v>0</v>
      </c>
      <c r="Q116" s="29"/>
      <c r="R116" s="32" t="s">
        <v>63</v>
      </c>
      <c r="S116" s="29"/>
      <c r="T116" s="28" t="s">
        <v>365</v>
      </c>
    </row>
    <row r="117" customFormat="false" ht="15.75" hidden="false" customHeight="true" outlineLevel="0" collapsed="false">
      <c r="A117" s="24" t="s">
        <v>396</v>
      </c>
      <c r="B117" s="24" t="s">
        <v>397</v>
      </c>
      <c r="C117" s="24" t="s">
        <v>192</v>
      </c>
      <c r="D117" s="24" t="s">
        <v>374</v>
      </c>
      <c r="E117" s="24" t="s">
        <v>87</v>
      </c>
      <c r="F117" s="21" t="s">
        <v>88</v>
      </c>
      <c r="G117" s="24" t="s">
        <v>89</v>
      </c>
      <c r="H117" s="21" t="s">
        <v>68</v>
      </c>
      <c r="I117" s="21" t="s">
        <v>69</v>
      </c>
      <c r="J117" s="24" t="s">
        <v>70</v>
      </c>
      <c r="K117" s="25" t="n">
        <v>101</v>
      </c>
      <c r="L117" s="26" t="n">
        <v>3.2</v>
      </c>
      <c r="M117" s="26" t="n">
        <v>3.2</v>
      </c>
      <c r="N117" s="26" t="n">
        <v>323.2</v>
      </c>
      <c r="O117" s="26" t="n">
        <v>323.2</v>
      </c>
      <c r="P117" s="26" t="n">
        <v>0</v>
      </c>
      <c r="Q117" s="21"/>
      <c r="R117" s="27" t="s">
        <v>63</v>
      </c>
      <c r="S117" s="21"/>
      <c r="T117" s="24" t="s">
        <v>365</v>
      </c>
    </row>
    <row r="118" customFormat="false" ht="15.75" hidden="false" customHeight="true" outlineLevel="0" collapsed="false">
      <c r="A118" s="28" t="s">
        <v>398</v>
      </c>
      <c r="B118" s="28" t="s">
        <v>399</v>
      </c>
      <c r="C118" s="28" t="s">
        <v>262</v>
      </c>
      <c r="D118" s="28" t="s">
        <v>271</v>
      </c>
      <c r="E118" s="28" t="s">
        <v>87</v>
      </c>
      <c r="F118" s="29" t="s">
        <v>88</v>
      </c>
      <c r="G118" s="28" t="s">
        <v>89</v>
      </c>
      <c r="H118" s="29" t="s">
        <v>278</v>
      </c>
      <c r="I118" s="29" t="s">
        <v>279</v>
      </c>
      <c r="J118" s="28" t="s">
        <v>83</v>
      </c>
      <c r="K118" s="30" t="n">
        <v>165</v>
      </c>
      <c r="L118" s="31" t="n">
        <v>95</v>
      </c>
      <c r="M118" s="31" t="n">
        <v>95</v>
      </c>
      <c r="N118" s="31" t="n">
        <v>15675</v>
      </c>
      <c r="O118" s="31" t="n">
        <v>15675</v>
      </c>
      <c r="P118" s="31" t="n">
        <v>0</v>
      </c>
      <c r="Q118" s="29"/>
      <c r="R118" s="32" t="s">
        <v>63</v>
      </c>
      <c r="S118" s="29"/>
      <c r="T118" s="28" t="s">
        <v>365</v>
      </c>
    </row>
    <row r="119" customFormat="false" ht="15.75" hidden="false" customHeight="true" outlineLevel="0" collapsed="false">
      <c r="A119" s="24" t="s">
        <v>400</v>
      </c>
      <c r="B119" s="24" t="s">
        <v>401</v>
      </c>
      <c r="C119" s="24" t="s">
        <v>179</v>
      </c>
      <c r="D119" s="24" t="s">
        <v>402</v>
      </c>
      <c r="E119" s="24" t="s">
        <v>95</v>
      </c>
      <c r="F119" s="21" t="s">
        <v>96</v>
      </c>
      <c r="G119" s="24" t="s">
        <v>97</v>
      </c>
      <c r="H119" s="21" t="s">
        <v>68</v>
      </c>
      <c r="I119" s="21" t="s">
        <v>69</v>
      </c>
      <c r="J119" s="24" t="s">
        <v>70</v>
      </c>
      <c r="K119" s="25" t="n">
        <v>158</v>
      </c>
      <c r="L119" s="26" t="n">
        <v>3.2</v>
      </c>
      <c r="M119" s="26" t="n">
        <v>3.2</v>
      </c>
      <c r="N119" s="26" t="n">
        <v>505.6</v>
      </c>
      <c r="O119" s="26" t="n">
        <v>505.6</v>
      </c>
      <c r="P119" s="26" t="n">
        <v>0</v>
      </c>
      <c r="Q119" s="21"/>
      <c r="R119" s="27" t="s">
        <v>63</v>
      </c>
      <c r="S119" s="21"/>
      <c r="T119" s="24" t="s">
        <v>365</v>
      </c>
    </row>
    <row r="120" customFormat="false" ht="15.75" hidden="false" customHeight="true" outlineLevel="0" collapsed="false">
      <c r="A120" s="28" t="s">
        <v>403</v>
      </c>
      <c r="B120" s="28" t="s">
        <v>404</v>
      </c>
      <c r="C120" s="28" t="s">
        <v>192</v>
      </c>
      <c r="D120" s="28" t="s">
        <v>405</v>
      </c>
      <c r="E120" s="28" t="s">
        <v>75</v>
      </c>
      <c r="F120" s="29" t="s">
        <v>76</v>
      </c>
      <c r="G120" s="28" t="s">
        <v>77</v>
      </c>
      <c r="H120" s="29" t="s">
        <v>161</v>
      </c>
      <c r="I120" s="29" t="s">
        <v>162</v>
      </c>
      <c r="J120" s="28" t="s">
        <v>83</v>
      </c>
      <c r="K120" s="30" t="n">
        <v>141</v>
      </c>
      <c r="L120" s="31" t="n">
        <v>45</v>
      </c>
      <c r="M120" s="31" t="n">
        <v>45</v>
      </c>
      <c r="N120" s="31" t="n">
        <v>6345</v>
      </c>
      <c r="O120" s="31" t="n">
        <v>6345</v>
      </c>
      <c r="P120" s="31" t="n">
        <v>0</v>
      </c>
      <c r="Q120" s="29"/>
      <c r="R120" s="32" t="s">
        <v>63</v>
      </c>
      <c r="S120" s="29"/>
      <c r="T120" s="28" t="s">
        <v>365</v>
      </c>
    </row>
    <row r="121" customFormat="false" ht="15.75" hidden="false" customHeight="true" outlineLevel="0" collapsed="false">
      <c r="A121" s="24" t="s">
        <v>406</v>
      </c>
      <c r="B121" s="24" t="s">
        <v>407</v>
      </c>
      <c r="C121" s="24" t="s">
        <v>179</v>
      </c>
      <c r="D121" s="24" t="s">
        <v>405</v>
      </c>
      <c r="E121" s="24" t="s">
        <v>142</v>
      </c>
      <c r="F121" s="21" t="s">
        <v>143</v>
      </c>
      <c r="G121" s="24" t="s">
        <v>144</v>
      </c>
      <c r="H121" s="21" t="s">
        <v>68</v>
      </c>
      <c r="I121" s="21" t="s">
        <v>69</v>
      </c>
      <c r="J121" s="24" t="s">
        <v>70</v>
      </c>
      <c r="K121" s="25" t="n">
        <v>92</v>
      </c>
      <c r="L121" s="26" t="n">
        <v>3.2</v>
      </c>
      <c r="M121" s="26" t="n">
        <v>3.2</v>
      </c>
      <c r="N121" s="26" t="n">
        <v>294.4</v>
      </c>
      <c r="O121" s="26" t="n">
        <v>294.4</v>
      </c>
      <c r="P121" s="26" t="n">
        <v>0</v>
      </c>
      <c r="Q121" s="21"/>
      <c r="R121" s="27" t="s">
        <v>63</v>
      </c>
      <c r="S121" s="21"/>
      <c r="T121" s="24" t="s">
        <v>365</v>
      </c>
    </row>
    <row r="122" customFormat="false" ht="15.75" hidden="false" customHeight="true" outlineLevel="0" collapsed="false">
      <c r="A122" s="28" t="s">
        <v>408</v>
      </c>
      <c r="B122" s="28" t="s">
        <v>409</v>
      </c>
      <c r="C122" s="28" t="s">
        <v>370</v>
      </c>
      <c r="D122" s="28" t="s">
        <v>402</v>
      </c>
      <c r="E122" s="28" t="s">
        <v>223</v>
      </c>
      <c r="F122" s="29" t="s">
        <v>224</v>
      </c>
      <c r="G122" s="28" t="s">
        <v>225</v>
      </c>
      <c r="H122" s="29" t="s">
        <v>112</v>
      </c>
      <c r="I122" s="29" t="s">
        <v>113</v>
      </c>
      <c r="J122" s="28" t="s">
        <v>83</v>
      </c>
      <c r="K122" s="30" t="n">
        <v>115</v>
      </c>
      <c r="L122" s="31" t="n">
        <v>245</v>
      </c>
      <c r="M122" s="31" t="n">
        <v>245</v>
      </c>
      <c r="N122" s="31" t="n">
        <v>28175</v>
      </c>
      <c r="O122" s="31" t="n">
        <v>28175</v>
      </c>
      <c r="P122" s="31" t="n">
        <v>0</v>
      </c>
      <c r="Q122" s="29"/>
      <c r="R122" s="32" t="s">
        <v>63</v>
      </c>
      <c r="S122" s="29"/>
      <c r="T122" s="28" t="s">
        <v>365</v>
      </c>
    </row>
    <row r="123" customFormat="false" ht="15.75" hidden="false" customHeight="true" outlineLevel="0" collapsed="false">
      <c r="A123" s="24" t="s">
        <v>410</v>
      </c>
      <c r="B123" s="24" t="s">
        <v>411</v>
      </c>
      <c r="C123" s="24" t="s">
        <v>192</v>
      </c>
      <c r="D123" s="24" t="s">
        <v>305</v>
      </c>
      <c r="E123" s="24" t="s">
        <v>223</v>
      </c>
      <c r="F123" s="21" t="s">
        <v>224</v>
      </c>
      <c r="G123" s="24" t="s">
        <v>225</v>
      </c>
      <c r="H123" s="21" t="s">
        <v>278</v>
      </c>
      <c r="I123" s="21" t="s">
        <v>279</v>
      </c>
      <c r="J123" s="24" t="s">
        <v>83</v>
      </c>
      <c r="K123" s="25" t="n">
        <v>44</v>
      </c>
      <c r="L123" s="26" t="n">
        <v>95</v>
      </c>
      <c r="M123" s="26" t="n">
        <v>95</v>
      </c>
      <c r="N123" s="26" t="n">
        <v>4180</v>
      </c>
      <c r="O123" s="26" t="n">
        <v>4180</v>
      </c>
      <c r="P123" s="26" t="n">
        <v>0</v>
      </c>
      <c r="Q123" s="21"/>
      <c r="R123" s="27" t="s">
        <v>63</v>
      </c>
      <c r="S123" s="21"/>
      <c r="T123" s="24" t="s">
        <v>365</v>
      </c>
    </row>
    <row r="124" customFormat="false" ht="15.75" hidden="false" customHeight="true" outlineLevel="0" collapsed="false">
      <c r="A124" s="28" t="s">
        <v>412</v>
      </c>
      <c r="B124" s="28" t="s">
        <v>413</v>
      </c>
      <c r="C124" s="28" t="s">
        <v>192</v>
      </c>
      <c r="D124" s="28" t="s">
        <v>346</v>
      </c>
      <c r="E124" s="28" t="s">
        <v>95</v>
      </c>
      <c r="F124" s="29" t="s">
        <v>96</v>
      </c>
      <c r="G124" s="28" t="s">
        <v>97</v>
      </c>
      <c r="H124" s="29" t="s">
        <v>121</v>
      </c>
      <c r="I124" s="29" t="s">
        <v>122</v>
      </c>
      <c r="J124" s="28" t="s">
        <v>123</v>
      </c>
      <c r="K124" s="30" t="n">
        <v>142</v>
      </c>
      <c r="L124" s="31" t="n">
        <v>62</v>
      </c>
      <c r="M124" s="31" t="n">
        <v>62</v>
      </c>
      <c r="N124" s="31" t="n">
        <v>8804</v>
      </c>
      <c r="O124" s="31" t="n">
        <v>8804</v>
      </c>
      <c r="P124" s="31" t="n">
        <v>0</v>
      </c>
      <c r="Q124" s="29"/>
      <c r="R124" s="32" t="s">
        <v>63</v>
      </c>
      <c r="S124" s="29"/>
      <c r="T124" s="28" t="s">
        <v>365</v>
      </c>
    </row>
    <row r="125" customFormat="false" ht="15.75" hidden="false" customHeight="true" outlineLevel="0" collapsed="false">
      <c r="A125" s="24" t="s">
        <v>414</v>
      </c>
      <c r="B125" s="24" t="s">
        <v>415</v>
      </c>
      <c r="C125" s="24" t="s">
        <v>262</v>
      </c>
      <c r="D125" s="24" t="s">
        <v>374</v>
      </c>
      <c r="E125" s="24" t="s">
        <v>87</v>
      </c>
      <c r="F125" s="21" t="s">
        <v>88</v>
      </c>
      <c r="G125" s="24" t="s">
        <v>89</v>
      </c>
      <c r="H125" s="21" t="s">
        <v>90</v>
      </c>
      <c r="I125" s="21" t="s">
        <v>91</v>
      </c>
      <c r="J125" s="24" t="s">
        <v>70</v>
      </c>
      <c r="K125" s="25" t="n">
        <v>87</v>
      </c>
      <c r="L125" s="26" t="n">
        <v>8.75</v>
      </c>
      <c r="M125" s="26" t="n">
        <v>8.75</v>
      </c>
      <c r="N125" s="26" t="n">
        <v>761.25</v>
      </c>
      <c r="O125" s="26" t="n">
        <v>761.25</v>
      </c>
      <c r="P125" s="26" t="n">
        <v>0</v>
      </c>
      <c r="Q125" s="21"/>
      <c r="R125" s="27" t="s">
        <v>63</v>
      </c>
      <c r="S125" s="21"/>
      <c r="T125" s="24" t="s">
        <v>365</v>
      </c>
    </row>
    <row r="126" customFormat="false" ht="15.75" hidden="false" customHeight="true" outlineLevel="0" collapsed="false">
      <c r="A126" s="28" t="s">
        <v>416</v>
      </c>
      <c r="B126" s="28" t="s">
        <v>417</v>
      </c>
      <c r="C126" s="28" t="s">
        <v>192</v>
      </c>
      <c r="D126" s="28" t="s">
        <v>402</v>
      </c>
      <c r="E126" s="28" t="s">
        <v>95</v>
      </c>
      <c r="F126" s="29" t="s">
        <v>96</v>
      </c>
      <c r="G126" s="28" t="s">
        <v>97</v>
      </c>
      <c r="H126" s="29" t="s">
        <v>138</v>
      </c>
      <c r="I126" s="29" t="s">
        <v>139</v>
      </c>
      <c r="J126" s="28" t="s">
        <v>83</v>
      </c>
      <c r="K126" s="30" t="n">
        <v>67</v>
      </c>
      <c r="L126" s="31" t="n">
        <v>185</v>
      </c>
      <c r="M126" s="31" t="n">
        <v>185</v>
      </c>
      <c r="N126" s="31" t="n">
        <v>12395</v>
      </c>
      <c r="O126" s="31" t="n">
        <v>12395</v>
      </c>
      <c r="P126" s="31" t="n">
        <v>0</v>
      </c>
      <c r="Q126" s="29"/>
      <c r="R126" s="32" t="s">
        <v>63</v>
      </c>
      <c r="S126" s="29"/>
      <c r="T126" s="28" t="s">
        <v>365</v>
      </c>
    </row>
    <row r="127" customFormat="false" ht="15.75" hidden="false" customHeight="true" outlineLevel="0" collapsed="false">
      <c r="A127" s="24" t="s">
        <v>418</v>
      </c>
      <c r="B127" s="24" t="s">
        <v>419</v>
      </c>
      <c r="C127" s="24" t="s">
        <v>192</v>
      </c>
      <c r="D127" s="24" t="s">
        <v>364</v>
      </c>
      <c r="E127" s="24" t="s">
        <v>109</v>
      </c>
      <c r="F127" s="21" t="s">
        <v>110</v>
      </c>
      <c r="G127" s="24" t="s">
        <v>111</v>
      </c>
      <c r="H127" s="21" t="s">
        <v>161</v>
      </c>
      <c r="I127" s="21" t="s">
        <v>162</v>
      </c>
      <c r="J127" s="24" t="s">
        <v>83</v>
      </c>
      <c r="K127" s="25" t="n">
        <v>12</v>
      </c>
      <c r="L127" s="26" t="n">
        <v>45</v>
      </c>
      <c r="M127" s="26" t="n">
        <v>45</v>
      </c>
      <c r="N127" s="26" t="n">
        <v>540</v>
      </c>
      <c r="O127" s="26" t="n">
        <v>540</v>
      </c>
      <c r="P127" s="26" t="n">
        <v>0</v>
      </c>
      <c r="Q127" s="21"/>
      <c r="R127" s="27" t="s">
        <v>63</v>
      </c>
      <c r="S127" s="21"/>
      <c r="T127" s="24" t="s">
        <v>365</v>
      </c>
    </row>
    <row r="128" customFormat="false" ht="15.75" hidden="false" customHeight="true" outlineLevel="0" collapsed="false">
      <c r="A128" s="28" t="s">
        <v>420</v>
      </c>
      <c r="B128" s="28" t="s">
        <v>421</v>
      </c>
      <c r="C128" s="28" t="s">
        <v>271</v>
      </c>
      <c r="D128" s="28" t="s">
        <v>374</v>
      </c>
      <c r="E128" s="28" t="s">
        <v>223</v>
      </c>
      <c r="F128" s="29" t="s">
        <v>224</v>
      </c>
      <c r="G128" s="28" t="s">
        <v>225</v>
      </c>
      <c r="H128" s="29" t="s">
        <v>145</v>
      </c>
      <c r="I128" s="29" t="s">
        <v>146</v>
      </c>
      <c r="J128" s="28" t="s">
        <v>83</v>
      </c>
      <c r="K128" s="30" t="n">
        <v>95</v>
      </c>
      <c r="L128" s="31" t="n">
        <v>320</v>
      </c>
      <c r="M128" s="31" t="n">
        <v>320</v>
      </c>
      <c r="N128" s="31" t="n">
        <v>30400</v>
      </c>
      <c r="O128" s="31" t="n">
        <v>30400</v>
      </c>
      <c r="P128" s="31" t="n">
        <v>0</v>
      </c>
      <c r="Q128" s="29"/>
      <c r="R128" s="32" t="s">
        <v>63</v>
      </c>
      <c r="S128" s="29"/>
      <c r="T128" s="28" t="s">
        <v>422</v>
      </c>
    </row>
    <row r="129" customFormat="false" ht="15.75" hidden="false" customHeight="true" outlineLevel="0" collapsed="false">
      <c r="A129" s="24" t="s">
        <v>423</v>
      </c>
      <c r="B129" s="24" t="s">
        <v>424</v>
      </c>
      <c r="C129" s="24" t="s">
        <v>312</v>
      </c>
      <c r="D129" s="24" t="s">
        <v>425</v>
      </c>
      <c r="E129" s="24" t="s">
        <v>87</v>
      </c>
      <c r="F129" s="21" t="s">
        <v>88</v>
      </c>
      <c r="G129" s="24" t="s">
        <v>89</v>
      </c>
      <c r="H129" s="21" t="s">
        <v>278</v>
      </c>
      <c r="I129" s="21" t="s">
        <v>279</v>
      </c>
      <c r="J129" s="24" t="s">
        <v>83</v>
      </c>
      <c r="K129" s="25" t="n">
        <v>75</v>
      </c>
      <c r="L129" s="26" t="n">
        <v>95</v>
      </c>
      <c r="M129" s="26" t="n">
        <v>95</v>
      </c>
      <c r="N129" s="26" t="n">
        <v>7125</v>
      </c>
      <c r="O129" s="26" t="n">
        <v>7125</v>
      </c>
      <c r="P129" s="26" t="n">
        <v>0</v>
      </c>
      <c r="Q129" s="21"/>
      <c r="R129" s="27" t="s">
        <v>63</v>
      </c>
      <c r="S129" s="21"/>
      <c r="T129" s="24" t="s">
        <v>422</v>
      </c>
    </row>
    <row r="130" customFormat="false" ht="15.75" hidden="false" customHeight="true" outlineLevel="0" collapsed="false">
      <c r="A130" s="28" t="s">
        <v>426</v>
      </c>
      <c r="B130" s="28" t="s">
        <v>427</v>
      </c>
      <c r="C130" s="28" t="s">
        <v>317</v>
      </c>
      <c r="D130" s="28" t="s">
        <v>428</v>
      </c>
      <c r="E130" s="28" t="s">
        <v>152</v>
      </c>
      <c r="F130" s="29" t="s">
        <v>153</v>
      </c>
      <c r="G130" s="28" t="s">
        <v>154</v>
      </c>
      <c r="H130" s="29" t="s">
        <v>112</v>
      </c>
      <c r="I130" s="29" t="s">
        <v>113</v>
      </c>
      <c r="J130" s="28" t="s">
        <v>83</v>
      </c>
      <c r="K130" s="30" t="n">
        <v>66</v>
      </c>
      <c r="L130" s="31" t="n">
        <v>245</v>
      </c>
      <c r="M130" s="31" t="n">
        <v>245</v>
      </c>
      <c r="N130" s="31" t="n">
        <v>16170</v>
      </c>
      <c r="O130" s="31" t="n">
        <v>16170</v>
      </c>
      <c r="P130" s="31" t="n">
        <v>0</v>
      </c>
      <c r="Q130" s="29"/>
      <c r="R130" s="32" t="s">
        <v>63</v>
      </c>
      <c r="S130" s="29"/>
      <c r="T130" s="28" t="s">
        <v>422</v>
      </c>
    </row>
    <row r="131" customFormat="false" ht="15.75" hidden="false" customHeight="true" outlineLevel="0" collapsed="false">
      <c r="A131" s="24" t="s">
        <v>429</v>
      </c>
      <c r="B131" s="24" t="s">
        <v>430</v>
      </c>
      <c r="C131" s="24" t="s">
        <v>317</v>
      </c>
      <c r="D131" s="24" t="s">
        <v>428</v>
      </c>
      <c r="E131" s="24" t="s">
        <v>152</v>
      </c>
      <c r="F131" s="21" t="s">
        <v>153</v>
      </c>
      <c r="G131" s="24" t="s">
        <v>154</v>
      </c>
      <c r="H131" s="21" t="s">
        <v>278</v>
      </c>
      <c r="I131" s="21" t="s">
        <v>279</v>
      </c>
      <c r="J131" s="24" t="s">
        <v>83</v>
      </c>
      <c r="K131" s="25" t="n">
        <v>126</v>
      </c>
      <c r="L131" s="26" t="n">
        <v>95</v>
      </c>
      <c r="M131" s="26" t="n">
        <v>95</v>
      </c>
      <c r="N131" s="26" t="n">
        <v>11970</v>
      </c>
      <c r="O131" s="26" t="n">
        <v>11970</v>
      </c>
      <c r="P131" s="26" t="n">
        <v>0</v>
      </c>
      <c r="Q131" s="21"/>
      <c r="R131" s="27" t="s">
        <v>63</v>
      </c>
      <c r="S131" s="21"/>
      <c r="T131" s="24" t="s">
        <v>422</v>
      </c>
    </row>
    <row r="132" customFormat="false" ht="15.75" hidden="false" customHeight="true" outlineLevel="0" collapsed="false">
      <c r="A132" s="28" t="s">
        <v>431</v>
      </c>
      <c r="B132" s="28" t="s">
        <v>432</v>
      </c>
      <c r="C132" s="28" t="s">
        <v>317</v>
      </c>
      <c r="D132" s="28" t="s">
        <v>433</v>
      </c>
      <c r="E132" s="28" t="s">
        <v>57</v>
      </c>
      <c r="F132" s="29" t="s">
        <v>58</v>
      </c>
      <c r="G132" s="28" t="s">
        <v>59</v>
      </c>
      <c r="H132" s="29" t="s">
        <v>90</v>
      </c>
      <c r="I132" s="29" t="s">
        <v>91</v>
      </c>
      <c r="J132" s="28" t="s">
        <v>70</v>
      </c>
      <c r="K132" s="30" t="n">
        <v>61</v>
      </c>
      <c r="L132" s="31" t="n">
        <v>8.75</v>
      </c>
      <c r="M132" s="31" t="n">
        <v>8.75</v>
      </c>
      <c r="N132" s="31" t="n">
        <v>533.75</v>
      </c>
      <c r="O132" s="31" t="n">
        <v>533.75</v>
      </c>
      <c r="P132" s="31" t="n">
        <v>0</v>
      </c>
      <c r="Q132" s="29"/>
      <c r="R132" s="32" t="s">
        <v>63</v>
      </c>
      <c r="S132" s="29"/>
      <c r="T132" s="28" t="s">
        <v>422</v>
      </c>
    </row>
    <row r="133" customFormat="false" ht="15.75" hidden="false" customHeight="true" outlineLevel="0" collapsed="false">
      <c r="A133" s="24" t="s">
        <v>434</v>
      </c>
      <c r="B133" s="24" t="s">
        <v>435</v>
      </c>
      <c r="C133" s="24" t="s">
        <v>312</v>
      </c>
      <c r="D133" s="24" t="s">
        <v>436</v>
      </c>
      <c r="E133" s="24" t="s">
        <v>87</v>
      </c>
      <c r="F133" s="21" t="s">
        <v>88</v>
      </c>
      <c r="G133" s="24" t="s">
        <v>89</v>
      </c>
      <c r="H133" s="21" t="s">
        <v>161</v>
      </c>
      <c r="I133" s="21" t="s">
        <v>162</v>
      </c>
      <c r="J133" s="24" t="s">
        <v>83</v>
      </c>
      <c r="K133" s="25" t="n">
        <v>126</v>
      </c>
      <c r="L133" s="26" t="n">
        <v>45</v>
      </c>
      <c r="M133" s="26" t="n">
        <v>45</v>
      </c>
      <c r="N133" s="26" t="n">
        <v>5670</v>
      </c>
      <c r="O133" s="26" t="n">
        <v>5670</v>
      </c>
      <c r="P133" s="26" t="n">
        <v>0</v>
      </c>
      <c r="Q133" s="21"/>
      <c r="R133" s="27" t="s">
        <v>63</v>
      </c>
      <c r="S133" s="21"/>
      <c r="T133" s="24" t="s">
        <v>422</v>
      </c>
    </row>
    <row r="134" customFormat="false" ht="15.75" hidden="false" customHeight="true" outlineLevel="0" collapsed="false">
      <c r="A134" s="28" t="s">
        <v>437</v>
      </c>
      <c r="B134" s="28" t="s">
        <v>438</v>
      </c>
      <c r="C134" s="28" t="s">
        <v>317</v>
      </c>
      <c r="D134" s="28" t="s">
        <v>374</v>
      </c>
      <c r="E134" s="28" t="s">
        <v>142</v>
      </c>
      <c r="F134" s="29" t="s">
        <v>143</v>
      </c>
      <c r="G134" s="28" t="s">
        <v>144</v>
      </c>
      <c r="H134" s="29" t="s">
        <v>161</v>
      </c>
      <c r="I134" s="29" t="s">
        <v>162</v>
      </c>
      <c r="J134" s="28" t="s">
        <v>83</v>
      </c>
      <c r="K134" s="30" t="n">
        <v>95</v>
      </c>
      <c r="L134" s="31" t="n">
        <v>45</v>
      </c>
      <c r="M134" s="31" t="n">
        <v>45</v>
      </c>
      <c r="N134" s="31" t="n">
        <v>4275</v>
      </c>
      <c r="O134" s="31" t="n">
        <v>4275</v>
      </c>
      <c r="P134" s="31" t="n">
        <v>0</v>
      </c>
      <c r="Q134" s="29"/>
      <c r="R134" s="32" t="s">
        <v>63</v>
      </c>
      <c r="S134" s="29"/>
      <c r="T134" s="28" t="s">
        <v>422</v>
      </c>
    </row>
    <row r="135" customFormat="false" ht="15.75" hidden="false" customHeight="true" outlineLevel="0" collapsed="false">
      <c r="A135" s="24" t="s">
        <v>439</v>
      </c>
      <c r="B135" s="24" t="s">
        <v>440</v>
      </c>
      <c r="C135" s="24" t="s">
        <v>288</v>
      </c>
      <c r="D135" s="24" t="s">
        <v>405</v>
      </c>
      <c r="E135" s="24" t="s">
        <v>152</v>
      </c>
      <c r="F135" s="21" t="s">
        <v>153</v>
      </c>
      <c r="G135" s="24" t="s">
        <v>154</v>
      </c>
      <c r="H135" s="21" t="s">
        <v>112</v>
      </c>
      <c r="I135" s="21" t="s">
        <v>113</v>
      </c>
      <c r="J135" s="24" t="s">
        <v>83</v>
      </c>
      <c r="K135" s="25" t="n">
        <v>189</v>
      </c>
      <c r="L135" s="26" t="n">
        <v>245</v>
      </c>
      <c r="M135" s="26" t="n">
        <v>245</v>
      </c>
      <c r="N135" s="26" t="n">
        <v>46305</v>
      </c>
      <c r="O135" s="26" t="n">
        <v>46305</v>
      </c>
      <c r="P135" s="26" t="n">
        <v>0</v>
      </c>
      <c r="Q135" s="21"/>
      <c r="R135" s="27" t="s">
        <v>63</v>
      </c>
      <c r="S135" s="21"/>
      <c r="T135" s="24" t="s">
        <v>422</v>
      </c>
    </row>
    <row r="136" customFormat="false" ht="15.75" hidden="false" customHeight="true" outlineLevel="0" collapsed="false">
      <c r="A136" s="28" t="s">
        <v>441</v>
      </c>
      <c r="B136" s="28" t="s">
        <v>442</v>
      </c>
      <c r="C136" s="28" t="s">
        <v>288</v>
      </c>
      <c r="D136" s="28" t="s">
        <v>425</v>
      </c>
      <c r="E136" s="28" t="s">
        <v>142</v>
      </c>
      <c r="F136" s="29" t="s">
        <v>143</v>
      </c>
      <c r="G136" s="28" t="s">
        <v>144</v>
      </c>
      <c r="H136" s="29" t="s">
        <v>278</v>
      </c>
      <c r="I136" s="29" t="s">
        <v>279</v>
      </c>
      <c r="J136" s="28" t="s">
        <v>83</v>
      </c>
      <c r="K136" s="30" t="n">
        <v>52</v>
      </c>
      <c r="L136" s="31" t="n">
        <v>95</v>
      </c>
      <c r="M136" s="31" t="n">
        <v>95</v>
      </c>
      <c r="N136" s="31" t="n">
        <v>4940</v>
      </c>
      <c r="O136" s="31" t="n">
        <v>4940</v>
      </c>
      <c r="P136" s="31" t="n">
        <v>0</v>
      </c>
      <c r="Q136" s="29"/>
      <c r="R136" s="32" t="s">
        <v>63</v>
      </c>
      <c r="S136" s="29"/>
      <c r="T136" s="28" t="s">
        <v>422</v>
      </c>
    </row>
    <row r="137" customFormat="false" ht="15.75" hidden="false" customHeight="true" outlineLevel="0" collapsed="false">
      <c r="A137" s="24" t="s">
        <v>443</v>
      </c>
      <c r="B137" s="24" t="s">
        <v>444</v>
      </c>
      <c r="C137" s="24" t="s">
        <v>312</v>
      </c>
      <c r="D137" s="24" t="s">
        <v>445</v>
      </c>
      <c r="E137" s="24" t="s">
        <v>95</v>
      </c>
      <c r="F137" s="21" t="s">
        <v>96</v>
      </c>
      <c r="G137" s="24" t="s">
        <v>97</v>
      </c>
      <c r="H137" s="21" t="s">
        <v>278</v>
      </c>
      <c r="I137" s="21" t="s">
        <v>279</v>
      </c>
      <c r="J137" s="24" t="s">
        <v>83</v>
      </c>
      <c r="K137" s="25" t="n">
        <v>155</v>
      </c>
      <c r="L137" s="26" t="n">
        <v>95</v>
      </c>
      <c r="M137" s="26" t="n">
        <v>95</v>
      </c>
      <c r="N137" s="26" t="n">
        <v>14725</v>
      </c>
      <c r="O137" s="26" t="n">
        <v>14725</v>
      </c>
      <c r="P137" s="26" t="n">
        <v>0</v>
      </c>
      <c r="Q137" s="21"/>
      <c r="R137" s="27" t="s">
        <v>63</v>
      </c>
      <c r="S137" s="21"/>
      <c r="T137" s="24" t="s">
        <v>422</v>
      </c>
    </row>
    <row r="138" customFormat="false" ht="15.75" hidden="false" customHeight="true" outlineLevel="0" collapsed="false">
      <c r="A138" s="28" t="s">
        <v>446</v>
      </c>
      <c r="B138" s="28" t="s">
        <v>447</v>
      </c>
      <c r="C138" s="28" t="s">
        <v>288</v>
      </c>
      <c r="D138" s="28" t="s">
        <v>405</v>
      </c>
      <c r="E138" s="28" t="s">
        <v>57</v>
      </c>
      <c r="F138" s="29" t="s">
        <v>58</v>
      </c>
      <c r="G138" s="28" t="s">
        <v>59</v>
      </c>
      <c r="H138" s="29" t="s">
        <v>145</v>
      </c>
      <c r="I138" s="29" t="s">
        <v>146</v>
      </c>
      <c r="J138" s="28" t="s">
        <v>83</v>
      </c>
      <c r="K138" s="30" t="n">
        <v>80</v>
      </c>
      <c r="L138" s="31" t="n">
        <v>320</v>
      </c>
      <c r="M138" s="31" t="n">
        <v>320</v>
      </c>
      <c r="N138" s="31" t="n">
        <v>25600</v>
      </c>
      <c r="O138" s="31" t="n">
        <v>25600</v>
      </c>
      <c r="P138" s="31" t="n">
        <v>0</v>
      </c>
      <c r="Q138" s="29"/>
      <c r="R138" s="32" t="s">
        <v>63</v>
      </c>
      <c r="S138" s="29"/>
      <c r="T138" s="28" t="s">
        <v>422</v>
      </c>
    </row>
    <row r="139" customFormat="false" ht="15.75" hidden="false" customHeight="true" outlineLevel="0" collapsed="false">
      <c r="A139" s="24" t="s">
        <v>448</v>
      </c>
      <c r="B139" s="24" t="s">
        <v>449</v>
      </c>
      <c r="C139" s="24" t="s">
        <v>288</v>
      </c>
      <c r="D139" s="24" t="s">
        <v>402</v>
      </c>
      <c r="E139" s="24" t="s">
        <v>75</v>
      </c>
      <c r="F139" s="21" t="s">
        <v>76</v>
      </c>
      <c r="G139" s="24" t="s">
        <v>77</v>
      </c>
      <c r="H139" s="21" t="s">
        <v>278</v>
      </c>
      <c r="I139" s="21" t="s">
        <v>279</v>
      </c>
      <c r="J139" s="24" t="s">
        <v>83</v>
      </c>
      <c r="K139" s="25" t="n">
        <v>141</v>
      </c>
      <c r="L139" s="26" t="n">
        <v>95</v>
      </c>
      <c r="M139" s="26" t="n">
        <v>95</v>
      </c>
      <c r="N139" s="26" t="n">
        <v>13395</v>
      </c>
      <c r="O139" s="26" t="n">
        <v>13395</v>
      </c>
      <c r="P139" s="26" t="n">
        <v>0</v>
      </c>
      <c r="Q139" s="21"/>
      <c r="R139" s="27" t="s">
        <v>63</v>
      </c>
      <c r="S139" s="21"/>
      <c r="T139" s="24" t="s">
        <v>422</v>
      </c>
    </row>
    <row r="140" customFormat="false" ht="15.75" hidden="false" customHeight="true" outlineLevel="0" collapsed="false">
      <c r="A140" s="28" t="s">
        <v>450</v>
      </c>
      <c r="B140" s="28" t="s">
        <v>451</v>
      </c>
      <c r="C140" s="28" t="s">
        <v>288</v>
      </c>
      <c r="D140" s="28" t="s">
        <v>452</v>
      </c>
      <c r="E140" s="28" t="s">
        <v>75</v>
      </c>
      <c r="F140" s="29" t="s">
        <v>76</v>
      </c>
      <c r="G140" s="28" t="s">
        <v>77</v>
      </c>
      <c r="H140" s="29" t="s">
        <v>81</v>
      </c>
      <c r="I140" s="29" t="s">
        <v>82</v>
      </c>
      <c r="J140" s="28" t="s">
        <v>83</v>
      </c>
      <c r="K140" s="30" t="n">
        <v>79</v>
      </c>
      <c r="L140" s="31" t="n">
        <v>38</v>
      </c>
      <c r="M140" s="31" t="n">
        <v>38</v>
      </c>
      <c r="N140" s="31" t="n">
        <v>3002</v>
      </c>
      <c r="O140" s="31" t="n">
        <v>3002</v>
      </c>
      <c r="P140" s="31" t="n">
        <v>0</v>
      </c>
      <c r="Q140" s="29"/>
      <c r="R140" s="32" t="s">
        <v>63</v>
      </c>
      <c r="S140" s="29"/>
      <c r="T140" s="28" t="s">
        <v>422</v>
      </c>
    </row>
    <row r="141" customFormat="false" ht="15.75" hidden="false" customHeight="true" outlineLevel="0" collapsed="false">
      <c r="A141" s="24" t="s">
        <v>453</v>
      </c>
      <c r="B141" s="24" t="s">
        <v>454</v>
      </c>
      <c r="C141" s="24" t="s">
        <v>312</v>
      </c>
      <c r="D141" s="24" t="s">
        <v>393</v>
      </c>
      <c r="E141" s="24" t="s">
        <v>223</v>
      </c>
      <c r="F141" s="21" t="s">
        <v>224</v>
      </c>
      <c r="G141" s="24" t="s">
        <v>225</v>
      </c>
      <c r="H141" s="21" t="s">
        <v>112</v>
      </c>
      <c r="I141" s="21" t="s">
        <v>113</v>
      </c>
      <c r="J141" s="24" t="s">
        <v>83</v>
      </c>
      <c r="K141" s="25" t="n">
        <v>8</v>
      </c>
      <c r="L141" s="26" t="n">
        <v>245</v>
      </c>
      <c r="M141" s="26" t="n">
        <v>245</v>
      </c>
      <c r="N141" s="26" t="n">
        <v>1960</v>
      </c>
      <c r="O141" s="26" t="n">
        <v>1960</v>
      </c>
      <c r="P141" s="26" t="n">
        <v>0</v>
      </c>
      <c r="Q141" s="21"/>
      <c r="R141" s="27" t="s">
        <v>63</v>
      </c>
      <c r="S141" s="21"/>
      <c r="T141" s="24" t="s">
        <v>422</v>
      </c>
    </row>
    <row r="142" customFormat="false" ht="15.75" hidden="false" customHeight="true" outlineLevel="0" collapsed="false">
      <c r="A142" s="28" t="s">
        <v>455</v>
      </c>
      <c r="B142" s="28" t="s">
        <v>456</v>
      </c>
      <c r="C142" s="28" t="s">
        <v>265</v>
      </c>
      <c r="D142" s="28" t="s">
        <v>425</v>
      </c>
      <c r="E142" s="28" t="s">
        <v>223</v>
      </c>
      <c r="F142" s="29" t="s">
        <v>224</v>
      </c>
      <c r="G142" s="28" t="s">
        <v>225</v>
      </c>
      <c r="H142" s="29" t="s">
        <v>161</v>
      </c>
      <c r="I142" s="29" t="s">
        <v>162</v>
      </c>
      <c r="J142" s="28" t="s">
        <v>83</v>
      </c>
      <c r="K142" s="30" t="n">
        <v>52</v>
      </c>
      <c r="L142" s="31" t="n">
        <v>45</v>
      </c>
      <c r="M142" s="31" t="n">
        <v>45</v>
      </c>
      <c r="N142" s="31" t="n">
        <v>2340</v>
      </c>
      <c r="O142" s="31" t="n">
        <v>2340</v>
      </c>
      <c r="P142" s="31" t="n">
        <v>0</v>
      </c>
      <c r="Q142" s="29"/>
      <c r="R142" s="32" t="s">
        <v>63</v>
      </c>
      <c r="S142" s="29"/>
      <c r="T142" s="28" t="s">
        <v>422</v>
      </c>
    </row>
    <row r="143" customFormat="false" ht="15.75" hidden="false" customHeight="true" outlineLevel="0" collapsed="false">
      <c r="A143" s="24" t="s">
        <v>457</v>
      </c>
      <c r="B143" s="24" t="s">
        <v>458</v>
      </c>
      <c r="C143" s="24" t="s">
        <v>317</v>
      </c>
      <c r="D143" s="24" t="s">
        <v>428</v>
      </c>
      <c r="E143" s="24" t="s">
        <v>223</v>
      </c>
      <c r="F143" s="21" t="s">
        <v>224</v>
      </c>
      <c r="G143" s="24" t="s">
        <v>225</v>
      </c>
      <c r="H143" s="21" t="s">
        <v>112</v>
      </c>
      <c r="I143" s="21" t="s">
        <v>113</v>
      </c>
      <c r="J143" s="24" t="s">
        <v>83</v>
      </c>
      <c r="K143" s="25" t="n">
        <v>21</v>
      </c>
      <c r="L143" s="26" t="n">
        <v>245</v>
      </c>
      <c r="M143" s="26" t="n">
        <v>245</v>
      </c>
      <c r="N143" s="26" t="n">
        <v>5145</v>
      </c>
      <c r="O143" s="26" t="n">
        <v>5145</v>
      </c>
      <c r="P143" s="26" t="n">
        <v>0</v>
      </c>
      <c r="Q143" s="21"/>
      <c r="R143" s="27" t="s">
        <v>63</v>
      </c>
      <c r="S143" s="21"/>
      <c r="T143" s="24" t="s">
        <v>422</v>
      </c>
    </row>
    <row r="144" customFormat="false" ht="15.75" hidden="false" customHeight="true" outlineLevel="0" collapsed="false">
      <c r="A144" s="28" t="s">
        <v>459</v>
      </c>
      <c r="B144" s="28" t="s">
        <v>460</v>
      </c>
      <c r="C144" s="28" t="s">
        <v>312</v>
      </c>
      <c r="D144" s="28" t="s">
        <v>393</v>
      </c>
      <c r="E144" s="28" t="s">
        <v>75</v>
      </c>
      <c r="F144" s="29" t="s">
        <v>76</v>
      </c>
      <c r="G144" s="28" t="s">
        <v>77</v>
      </c>
      <c r="H144" s="29" t="s">
        <v>98</v>
      </c>
      <c r="I144" s="29" t="s">
        <v>99</v>
      </c>
      <c r="J144" s="28" t="s">
        <v>83</v>
      </c>
      <c r="K144" s="30" t="n">
        <v>43</v>
      </c>
      <c r="L144" s="31" t="n">
        <v>189</v>
      </c>
      <c r="M144" s="31" t="n">
        <v>189</v>
      </c>
      <c r="N144" s="31" t="n">
        <v>8127</v>
      </c>
      <c r="O144" s="31" t="n">
        <v>8127</v>
      </c>
      <c r="P144" s="31" t="n">
        <v>0</v>
      </c>
      <c r="Q144" s="29"/>
      <c r="R144" s="32" t="s">
        <v>63</v>
      </c>
      <c r="S144" s="29"/>
      <c r="T144" s="28" t="s">
        <v>422</v>
      </c>
    </row>
    <row r="145" customFormat="false" ht="15.75" hidden="false" customHeight="true" outlineLevel="0" collapsed="false">
      <c r="A145" s="24" t="s">
        <v>461</v>
      </c>
      <c r="B145" s="24" t="s">
        <v>462</v>
      </c>
      <c r="C145" s="24" t="s">
        <v>317</v>
      </c>
      <c r="D145" s="24" t="s">
        <v>436</v>
      </c>
      <c r="E145" s="24" t="s">
        <v>152</v>
      </c>
      <c r="F145" s="21" t="s">
        <v>153</v>
      </c>
      <c r="G145" s="24" t="s">
        <v>154</v>
      </c>
      <c r="H145" s="21" t="s">
        <v>112</v>
      </c>
      <c r="I145" s="21" t="s">
        <v>113</v>
      </c>
      <c r="J145" s="24" t="s">
        <v>83</v>
      </c>
      <c r="K145" s="25" t="n">
        <v>147</v>
      </c>
      <c r="L145" s="26" t="n">
        <v>245</v>
      </c>
      <c r="M145" s="26" t="n">
        <v>245</v>
      </c>
      <c r="N145" s="26" t="n">
        <v>36015</v>
      </c>
      <c r="O145" s="26" t="n">
        <v>36015</v>
      </c>
      <c r="P145" s="26" t="n">
        <v>0</v>
      </c>
      <c r="Q145" s="21"/>
      <c r="R145" s="27" t="s">
        <v>63</v>
      </c>
      <c r="S145" s="21"/>
      <c r="T145" s="24" t="s">
        <v>422</v>
      </c>
    </row>
    <row r="146" customFormat="false" ht="15.75" hidden="false" customHeight="true" outlineLevel="0" collapsed="false">
      <c r="A146" s="28" t="s">
        <v>463</v>
      </c>
      <c r="B146" s="28" t="s">
        <v>464</v>
      </c>
      <c r="C146" s="28" t="s">
        <v>317</v>
      </c>
      <c r="D146" s="28" t="s">
        <v>428</v>
      </c>
      <c r="E146" s="28" t="s">
        <v>87</v>
      </c>
      <c r="F146" s="29" t="s">
        <v>88</v>
      </c>
      <c r="G146" s="28" t="s">
        <v>89</v>
      </c>
      <c r="H146" s="29" t="s">
        <v>145</v>
      </c>
      <c r="I146" s="29" t="s">
        <v>146</v>
      </c>
      <c r="J146" s="28" t="s">
        <v>83</v>
      </c>
      <c r="K146" s="30" t="n">
        <v>138</v>
      </c>
      <c r="L146" s="31" t="n">
        <v>320</v>
      </c>
      <c r="M146" s="31" t="n">
        <v>320</v>
      </c>
      <c r="N146" s="31" t="n">
        <v>44160</v>
      </c>
      <c r="O146" s="31" t="n">
        <v>44160</v>
      </c>
      <c r="P146" s="31" t="n">
        <v>0</v>
      </c>
      <c r="Q146" s="29"/>
      <c r="R146" s="32" t="s">
        <v>63</v>
      </c>
      <c r="S146" s="29"/>
      <c r="T146" s="28" t="s">
        <v>422</v>
      </c>
    </row>
    <row r="147" customFormat="false" ht="15.75" hidden="false" customHeight="true" outlineLevel="0" collapsed="false">
      <c r="A147" s="24" t="s">
        <v>465</v>
      </c>
      <c r="B147" s="24" t="s">
        <v>466</v>
      </c>
      <c r="C147" s="24" t="s">
        <v>271</v>
      </c>
      <c r="D147" s="24" t="s">
        <v>452</v>
      </c>
      <c r="E147" s="24" t="s">
        <v>95</v>
      </c>
      <c r="F147" s="21" t="s">
        <v>96</v>
      </c>
      <c r="G147" s="24" t="s">
        <v>97</v>
      </c>
      <c r="H147" s="21" t="s">
        <v>121</v>
      </c>
      <c r="I147" s="21" t="s">
        <v>122</v>
      </c>
      <c r="J147" s="24" t="s">
        <v>123</v>
      </c>
      <c r="K147" s="25" t="n">
        <v>114</v>
      </c>
      <c r="L147" s="26" t="n">
        <v>62</v>
      </c>
      <c r="M147" s="26" t="n">
        <v>62</v>
      </c>
      <c r="N147" s="26" t="n">
        <v>7068</v>
      </c>
      <c r="O147" s="26" t="n">
        <v>7068</v>
      </c>
      <c r="P147" s="26" t="n">
        <v>0</v>
      </c>
      <c r="Q147" s="21"/>
      <c r="R147" s="27" t="s">
        <v>63</v>
      </c>
      <c r="S147" s="21"/>
      <c r="T147" s="24" t="s">
        <v>422</v>
      </c>
    </row>
    <row r="148" customFormat="false" ht="15.75" hidden="false" customHeight="true" outlineLevel="0" collapsed="false">
      <c r="A148" s="28" t="s">
        <v>467</v>
      </c>
      <c r="B148" s="28" t="s">
        <v>468</v>
      </c>
      <c r="C148" s="28" t="s">
        <v>288</v>
      </c>
      <c r="D148" s="28" t="s">
        <v>452</v>
      </c>
      <c r="E148" s="28" t="s">
        <v>87</v>
      </c>
      <c r="F148" s="29" t="s">
        <v>88</v>
      </c>
      <c r="G148" s="28" t="s">
        <v>89</v>
      </c>
      <c r="H148" s="29" t="s">
        <v>278</v>
      </c>
      <c r="I148" s="29" t="s">
        <v>279</v>
      </c>
      <c r="J148" s="28" t="s">
        <v>83</v>
      </c>
      <c r="K148" s="30" t="n">
        <v>30</v>
      </c>
      <c r="L148" s="31" t="n">
        <v>95</v>
      </c>
      <c r="M148" s="31" t="n">
        <v>95</v>
      </c>
      <c r="N148" s="31" t="n">
        <v>2850</v>
      </c>
      <c r="O148" s="31" t="n">
        <v>2850</v>
      </c>
      <c r="P148" s="31" t="n">
        <v>0</v>
      </c>
      <c r="Q148" s="29"/>
      <c r="R148" s="32" t="s">
        <v>63</v>
      </c>
      <c r="S148" s="29"/>
      <c r="T148" s="28" t="s">
        <v>422</v>
      </c>
    </row>
    <row r="149" customFormat="false" ht="15.75" hidden="false" customHeight="true" outlineLevel="0" collapsed="false">
      <c r="A149" s="24" t="s">
        <v>469</v>
      </c>
      <c r="B149" s="24" t="s">
        <v>470</v>
      </c>
      <c r="C149" s="24" t="s">
        <v>288</v>
      </c>
      <c r="D149" s="24" t="s">
        <v>364</v>
      </c>
      <c r="E149" s="24" t="s">
        <v>57</v>
      </c>
      <c r="F149" s="21" t="s">
        <v>58</v>
      </c>
      <c r="G149" s="24" t="s">
        <v>59</v>
      </c>
      <c r="H149" s="21" t="s">
        <v>98</v>
      </c>
      <c r="I149" s="21" t="s">
        <v>99</v>
      </c>
      <c r="J149" s="24" t="s">
        <v>83</v>
      </c>
      <c r="K149" s="25" t="n">
        <v>66</v>
      </c>
      <c r="L149" s="26" t="n">
        <v>189</v>
      </c>
      <c r="M149" s="26" t="n">
        <v>189</v>
      </c>
      <c r="N149" s="26" t="n">
        <v>12474</v>
      </c>
      <c r="O149" s="26" t="n">
        <v>12474</v>
      </c>
      <c r="P149" s="26" t="n">
        <v>0</v>
      </c>
      <c r="Q149" s="21"/>
      <c r="R149" s="27" t="s">
        <v>63</v>
      </c>
      <c r="S149" s="21"/>
      <c r="T149" s="24" t="s">
        <v>422</v>
      </c>
    </row>
    <row r="150" customFormat="false" ht="15.75" hidden="false" customHeight="true" outlineLevel="0" collapsed="false">
      <c r="A150" s="28" t="s">
        <v>471</v>
      </c>
      <c r="B150" s="28" t="s">
        <v>472</v>
      </c>
      <c r="C150" s="28" t="s">
        <v>312</v>
      </c>
      <c r="D150" s="28" t="s">
        <v>452</v>
      </c>
      <c r="E150" s="28" t="s">
        <v>75</v>
      </c>
      <c r="F150" s="29" t="s">
        <v>76</v>
      </c>
      <c r="G150" s="28" t="s">
        <v>77</v>
      </c>
      <c r="H150" s="29" t="s">
        <v>213</v>
      </c>
      <c r="I150" s="29" t="s">
        <v>214</v>
      </c>
      <c r="J150" s="28" t="s">
        <v>83</v>
      </c>
      <c r="K150" s="30" t="n">
        <v>120</v>
      </c>
      <c r="L150" s="31" t="n">
        <v>560</v>
      </c>
      <c r="M150" s="31" t="n">
        <v>560</v>
      </c>
      <c r="N150" s="31" t="n">
        <v>67200</v>
      </c>
      <c r="O150" s="31" t="n">
        <v>67200</v>
      </c>
      <c r="P150" s="31" t="n">
        <v>0</v>
      </c>
      <c r="Q150" s="29"/>
      <c r="R150" s="32" t="s">
        <v>63</v>
      </c>
      <c r="S150" s="29"/>
      <c r="T150" s="28" t="s">
        <v>422</v>
      </c>
    </row>
    <row r="151" customFormat="false" ht="15.75" hidden="false" customHeight="true" outlineLevel="0" collapsed="false">
      <c r="A151" s="24" t="s">
        <v>473</v>
      </c>
      <c r="B151" s="24" t="s">
        <v>474</v>
      </c>
      <c r="C151" s="24" t="s">
        <v>271</v>
      </c>
      <c r="D151" s="24" t="s">
        <v>445</v>
      </c>
      <c r="E151" s="24" t="s">
        <v>152</v>
      </c>
      <c r="F151" s="21" t="s">
        <v>153</v>
      </c>
      <c r="G151" s="24" t="s">
        <v>154</v>
      </c>
      <c r="H151" s="21" t="s">
        <v>90</v>
      </c>
      <c r="I151" s="21" t="s">
        <v>91</v>
      </c>
      <c r="J151" s="24" t="s">
        <v>70</v>
      </c>
      <c r="K151" s="25" t="n">
        <v>185</v>
      </c>
      <c r="L151" s="26" t="n">
        <v>8.75</v>
      </c>
      <c r="M151" s="26" t="n">
        <v>8.75</v>
      </c>
      <c r="N151" s="26" t="n">
        <v>1618.75</v>
      </c>
      <c r="O151" s="26" t="n">
        <v>1618.75</v>
      </c>
      <c r="P151" s="26" t="n">
        <v>0</v>
      </c>
      <c r="Q151" s="21"/>
      <c r="R151" s="27" t="s">
        <v>63</v>
      </c>
      <c r="S151" s="21"/>
      <c r="T151" s="24" t="s">
        <v>422</v>
      </c>
    </row>
    <row r="152" customFormat="false" ht="15.75" hidden="false" customHeight="true" outlineLevel="0" collapsed="false">
      <c r="A152" s="28" t="s">
        <v>475</v>
      </c>
      <c r="B152" s="28" t="s">
        <v>476</v>
      </c>
      <c r="C152" s="28" t="s">
        <v>271</v>
      </c>
      <c r="D152" s="28" t="s">
        <v>433</v>
      </c>
      <c r="E152" s="28" t="s">
        <v>57</v>
      </c>
      <c r="F152" s="29" t="s">
        <v>58</v>
      </c>
      <c r="G152" s="28" t="s">
        <v>59</v>
      </c>
      <c r="H152" s="29" t="s">
        <v>68</v>
      </c>
      <c r="I152" s="29" t="s">
        <v>69</v>
      </c>
      <c r="J152" s="28" t="s">
        <v>70</v>
      </c>
      <c r="K152" s="30" t="n">
        <v>64</v>
      </c>
      <c r="L152" s="31" t="n">
        <v>3.2</v>
      </c>
      <c r="M152" s="31" t="n">
        <v>3.2</v>
      </c>
      <c r="N152" s="31" t="n">
        <v>204.8</v>
      </c>
      <c r="O152" s="31" t="n">
        <v>204.8</v>
      </c>
      <c r="P152" s="31" t="n">
        <v>0</v>
      </c>
      <c r="Q152" s="29"/>
      <c r="R152" s="32" t="s">
        <v>63</v>
      </c>
      <c r="S152" s="29"/>
      <c r="T152" s="28" t="s">
        <v>422</v>
      </c>
    </row>
    <row r="153" customFormat="false" ht="15.75" hidden="false" customHeight="true" outlineLevel="0" collapsed="false">
      <c r="A153" s="24" t="s">
        <v>477</v>
      </c>
      <c r="B153" s="24" t="s">
        <v>478</v>
      </c>
      <c r="C153" s="24" t="s">
        <v>346</v>
      </c>
      <c r="D153" s="24" t="s">
        <v>452</v>
      </c>
      <c r="E153" s="24" t="s">
        <v>87</v>
      </c>
      <c r="F153" s="21" t="s">
        <v>88</v>
      </c>
      <c r="G153" s="24" t="s">
        <v>89</v>
      </c>
      <c r="H153" s="21" t="s">
        <v>68</v>
      </c>
      <c r="I153" s="21" t="s">
        <v>69</v>
      </c>
      <c r="J153" s="24" t="s">
        <v>70</v>
      </c>
      <c r="K153" s="25" t="n">
        <v>55</v>
      </c>
      <c r="L153" s="26" t="n">
        <v>3.2</v>
      </c>
      <c r="M153" s="26" t="n">
        <v>3.2</v>
      </c>
      <c r="N153" s="26" t="n">
        <v>176</v>
      </c>
      <c r="O153" s="26" t="n">
        <v>176</v>
      </c>
      <c r="P153" s="26" t="n">
        <v>0</v>
      </c>
      <c r="Q153" s="21"/>
      <c r="R153" s="27" t="s">
        <v>63</v>
      </c>
      <c r="S153" s="21"/>
      <c r="T153" s="24" t="s">
        <v>479</v>
      </c>
    </row>
    <row r="154" customFormat="false" ht="15.75" hidden="false" customHeight="true" outlineLevel="0" collapsed="false">
      <c r="A154" s="28" t="s">
        <v>480</v>
      </c>
      <c r="B154" s="28" t="s">
        <v>481</v>
      </c>
      <c r="C154" s="28" t="s">
        <v>349</v>
      </c>
      <c r="D154" s="28" t="s">
        <v>374</v>
      </c>
      <c r="E154" s="28" t="s">
        <v>135</v>
      </c>
      <c r="F154" s="29" t="s">
        <v>136</v>
      </c>
      <c r="G154" s="28" t="s">
        <v>137</v>
      </c>
      <c r="H154" s="29" t="s">
        <v>90</v>
      </c>
      <c r="I154" s="29" t="s">
        <v>91</v>
      </c>
      <c r="J154" s="28" t="s">
        <v>70</v>
      </c>
      <c r="K154" s="30" t="n">
        <v>41</v>
      </c>
      <c r="L154" s="31" t="n">
        <v>8.75</v>
      </c>
      <c r="M154" s="31" t="n">
        <v>8.75</v>
      </c>
      <c r="N154" s="31" t="n">
        <v>358.75</v>
      </c>
      <c r="O154" s="31" t="n">
        <v>358.75</v>
      </c>
      <c r="P154" s="31" t="n">
        <v>0</v>
      </c>
      <c r="Q154" s="29"/>
      <c r="R154" s="32" t="s">
        <v>63</v>
      </c>
      <c r="S154" s="29"/>
      <c r="T154" s="28" t="s">
        <v>479</v>
      </c>
    </row>
    <row r="155" customFormat="false" ht="15.75" hidden="false" customHeight="true" outlineLevel="0" collapsed="false">
      <c r="A155" s="24" t="s">
        <v>482</v>
      </c>
      <c r="B155" s="24" t="s">
        <v>483</v>
      </c>
      <c r="C155" s="24" t="s">
        <v>425</v>
      </c>
      <c r="D155" s="24" t="s">
        <v>484</v>
      </c>
      <c r="E155" s="24" t="s">
        <v>95</v>
      </c>
      <c r="F155" s="21" t="s">
        <v>96</v>
      </c>
      <c r="G155" s="24" t="s">
        <v>97</v>
      </c>
      <c r="H155" s="21" t="s">
        <v>121</v>
      </c>
      <c r="I155" s="21" t="s">
        <v>122</v>
      </c>
      <c r="J155" s="24" t="s">
        <v>123</v>
      </c>
      <c r="K155" s="25" t="n">
        <v>196</v>
      </c>
      <c r="L155" s="26" t="n">
        <v>62</v>
      </c>
      <c r="M155" s="26" t="n">
        <v>62</v>
      </c>
      <c r="N155" s="26" t="n">
        <v>12152</v>
      </c>
      <c r="O155" s="26" t="n">
        <v>12152</v>
      </c>
      <c r="P155" s="26" t="n">
        <v>0</v>
      </c>
      <c r="Q155" s="21"/>
      <c r="R155" s="27" t="s">
        <v>63</v>
      </c>
      <c r="S155" s="21"/>
      <c r="T155" s="24" t="s">
        <v>479</v>
      </c>
    </row>
    <row r="156" customFormat="false" ht="15.75" hidden="false" customHeight="true" outlineLevel="0" collapsed="false">
      <c r="A156" s="28" t="s">
        <v>485</v>
      </c>
      <c r="B156" s="28" t="s">
        <v>486</v>
      </c>
      <c r="C156" s="28" t="s">
        <v>487</v>
      </c>
      <c r="D156" s="28" t="s">
        <v>488</v>
      </c>
      <c r="E156" s="28" t="s">
        <v>57</v>
      </c>
      <c r="F156" s="29" t="s">
        <v>58</v>
      </c>
      <c r="G156" s="28" t="s">
        <v>59</v>
      </c>
      <c r="H156" s="29" t="s">
        <v>138</v>
      </c>
      <c r="I156" s="29" t="s">
        <v>139</v>
      </c>
      <c r="J156" s="28" t="s">
        <v>83</v>
      </c>
      <c r="K156" s="30" t="n">
        <v>181</v>
      </c>
      <c r="L156" s="31" t="n">
        <v>185</v>
      </c>
      <c r="M156" s="31" t="n">
        <v>185</v>
      </c>
      <c r="N156" s="31" t="n">
        <v>33485</v>
      </c>
      <c r="O156" s="31" t="n">
        <v>33485</v>
      </c>
      <c r="P156" s="31" t="n">
        <v>0</v>
      </c>
      <c r="Q156" s="29"/>
      <c r="R156" s="32" t="s">
        <v>63</v>
      </c>
      <c r="S156" s="29"/>
      <c r="T156" s="28" t="s">
        <v>479</v>
      </c>
    </row>
    <row r="157" customFormat="false" ht="15.75" hidden="false" customHeight="true" outlineLevel="0" collapsed="false">
      <c r="A157" s="24" t="s">
        <v>489</v>
      </c>
      <c r="B157" s="24" t="s">
        <v>490</v>
      </c>
      <c r="C157" s="24" t="s">
        <v>346</v>
      </c>
      <c r="D157" s="24" t="s">
        <v>491</v>
      </c>
      <c r="E157" s="24" t="s">
        <v>95</v>
      </c>
      <c r="F157" s="21" t="s">
        <v>96</v>
      </c>
      <c r="G157" s="24" t="s">
        <v>97</v>
      </c>
      <c r="H157" s="21" t="s">
        <v>81</v>
      </c>
      <c r="I157" s="21" t="s">
        <v>82</v>
      </c>
      <c r="J157" s="24" t="s">
        <v>83</v>
      </c>
      <c r="K157" s="25" t="n">
        <v>143</v>
      </c>
      <c r="L157" s="26" t="n">
        <v>38</v>
      </c>
      <c r="M157" s="26" t="n">
        <v>38</v>
      </c>
      <c r="N157" s="26" t="n">
        <v>5434</v>
      </c>
      <c r="O157" s="26" t="n">
        <v>5434</v>
      </c>
      <c r="P157" s="26" t="n">
        <v>0</v>
      </c>
      <c r="Q157" s="21"/>
      <c r="R157" s="27" t="s">
        <v>63</v>
      </c>
      <c r="S157" s="21"/>
      <c r="T157" s="24" t="s">
        <v>479</v>
      </c>
    </row>
    <row r="158" customFormat="false" ht="15.75" hidden="false" customHeight="true" outlineLevel="0" collapsed="false">
      <c r="A158" s="28" t="s">
        <v>492</v>
      </c>
      <c r="B158" s="28" t="s">
        <v>493</v>
      </c>
      <c r="C158" s="28" t="s">
        <v>487</v>
      </c>
      <c r="D158" s="28" t="s">
        <v>494</v>
      </c>
      <c r="E158" s="28" t="s">
        <v>75</v>
      </c>
      <c r="F158" s="29" t="s">
        <v>76</v>
      </c>
      <c r="G158" s="28" t="s">
        <v>77</v>
      </c>
      <c r="H158" s="29" t="s">
        <v>213</v>
      </c>
      <c r="I158" s="29" t="s">
        <v>214</v>
      </c>
      <c r="J158" s="28" t="s">
        <v>83</v>
      </c>
      <c r="K158" s="30" t="n">
        <v>193</v>
      </c>
      <c r="L158" s="31" t="n">
        <v>560</v>
      </c>
      <c r="M158" s="31" t="n">
        <v>560</v>
      </c>
      <c r="N158" s="31" t="n">
        <v>108080</v>
      </c>
      <c r="O158" s="31" t="n">
        <v>108080</v>
      </c>
      <c r="P158" s="31" t="n">
        <v>0</v>
      </c>
      <c r="Q158" s="29"/>
      <c r="R158" s="32" t="s">
        <v>63</v>
      </c>
      <c r="S158" s="29"/>
      <c r="T158" s="28" t="s">
        <v>479</v>
      </c>
    </row>
    <row r="159" customFormat="false" ht="15.75" hidden="false" customHeight="true" outlineLevel="0" collapsed="false">
      <c r="A159" s="24" t="s">
        <v>495</v>
      </c>
      <c r="B159" s="24" t="s">
        <v>496</v>
      </c>
      <c r="C159" s="24" t="s">
        <v>425</v>
      </c>
      <c r="D159" s="24" t="s">
        <v>488</v>
      </c>
      <c r="E159" s="24" t="s">
        <v>57</v>
      </c>
      <c r="F159" s="21" t="s">
        <v>58</v>
      </c>
      <c r="G159" s="24" t="s">
        <v>59</v>
      </c>
      <c r="H159" s="21" t="s">
        <v>145</v>
      </c>
      <c r="I159" s="21" t="s">
        <v>146</v>
      </c>
      <c r="J159" s="24" t="s">
        <v>83</v>
      </c>
      <c r="K159" s="25" t="n">
        <v>177</v>
      </c>
      <c r="L159" s="26" t="n">
        <v>320</v>
      </c>
      <c r="M159" s="26" t="n">
        <v>320</v>
      </c>
      <c r="N159" s="26" t="n">
        <v>56640</v>
      </c>
      <c r="O159" s="26" t="n">
        <v>56640</v>
      </c>
      <c r="P159" s="26" t="n">
        <v>0</v>
      </c>
      <c r="Q159" s="21"/>
      <c r="R159" s="27" t="s">
        <v>63</v>
      </c>
      <c r="S159" s="21"/>
      <c r="T159" s="24" t="s">
        <v>479</v>
      </c>
    </row>
    <row r="160" customFormat="false" ht="15.75" hidden="false" customHeight="true" outlineLevel="0" collapsed="false">
      <c r="A160" s="28" t="s">
        <v>497</v>
      </c>
      <c r="B160" s="28" t="s">
        <v>498</v>
      </c>
      <c r="C160" s="28" t="s">
        <v>371</v>
      </c>
      <c r="D160" s="28" t="s">
        <v>499</v>
      </c>
      <c r="E160" s="28" t="s">
        <v>95</v>
      </c>
      <c r="F160" s="29" t="s">
        <v>96</v>
      </c>
      <c r="G160" s="28" t="s">
        <v>97</v>
      </c>
      <c r="H160" s="29" t="s">
        <v>121</v>
      </c>
      <c r="I160" s="29" t="s">
        <v>122</v>
      </c>
      <c r="J160" s="28" t="s">
        <v>123</v>
      </c>
      <c r="K160" s="30" t="n">
        <v>15</v>
      </c>
      <c r="L160" s="31" t="n">
        <v>62</v>
      </c>
      <c r="M160" s="31" t="n">
        <v>62</v>
      </c>
      <c r="N160" s="31" t="n">
        <v>930</v>
      </c>
      <c r="O160" s="31" t="n">
        <v>930</v>
      </c>
      <c r="P160" s="31" t="n">
        <v>0</v>
      </c>
      <c r="Q160" s="29"/>
      <c r="R160" s="32" t="s">
        <v>63</v>
      </c>
      <c r="S160" s="29"/>
      <c r="T160" s="28" t="s">
        <v>479</v>
      </c>
    </row>
    <row r="161" customFormat="false" ht="15.75" hidden="false" customHeight="true" outlineLevel="0" collapsed="false">
      <c r="A161" s="24" t="s">
        <v>500</v>
      </c>
      <c r="B161" s="24" t="s">
        <v>501</v>
      </c>
      <c r="C161" s="24" t="s">
        <v>425</v>
      </c>
      <c r="D161" s="24" t="s">
        <v>491</v>
      </c>
      <c r="E161" s="24" t="s">
        <v>223</v>
      </c>
      <c r="F161" s="21" t="s">
        <v>224</v>
      </c>
      <c r="G161" s="24" t="s">
        <v>225</v>
      </c>
      <c r="H161" s="21" t="s">
        <v>90</v>
      </c>
      <c r="I161" s="21" t="s">
        <v>91</v>
      </c>
      <c r="J161" s="24" t="s">
        <v>70</v>
      </c>
      <c r="K161" s="25" t="n">
        <v>51</v>
      </c>
      <c r="L161" s="26" t="n">
        <v>8.75</v>
      </c>
      <c r="M161" s="26" t="n">
        <v>8.75</v>
      </c>
      <c r="N161" s="26" t="n">
        <v>446.25</v>
      </c>
      <c r="O161" s="26" t="n">
        <v>446.25</v>
      </c>
      <c r="P161" s="26" t="n">
        <v>0</v>
      </c>
      <c r="Q161" s="21"/>
      <c r="R161" s="27" t="s">
        <v>63</v>
      </c>
      <c r="S161" s="21"/>
      <c r="T161" s="24" t="s">
        <v>479</v>
      </c>
    </row>
    <row r="162" customFormat="false" ht="15.75" hidden="false" customHeight="true" outlineLevel="0" collapsed="false">
      <c r="A162" s="28" t="s">
        <v>502</v>
      </c>
      <c r="B162" s="28" t="s">
        <v>503</v>
      </c>
      <c r="C162" s="28" t="s">
        <v>487</v>
      </c>
      <c r="D162" s="28" t="s">
        <v>499</v>
      </c>
      <c r="E162" s="28" t="s">
        <v>223</v>
      </c>
      <c r="F162" s="29" t="s">
        <v>224</v>
      </c>
      <c r="G162" s="28" t="s">
        <v>225</v>
      </c>
      <c r="H162" s="29" t="s">
        <v>112</v>
      </c>
      <c r="I162" s="29" t="s">
        <v>113</v>
      </c>
      <c r="J162" s="28" t="s">
        <v>83</v>
      </c>
      <c r="K162" s="30" t="n">
        <v>125</v>
      </c>
      <c r="L162" s="31" t="n">
        <v>245</v>
      </c>
      <c r="M162" s="31" t="n">
        <v>245</v>
      </c>
      <c r="N162" s="31" t="n">
        <v>30625</v>
      </c>
      <c r="O162" s="31" t="n">
        <v>30625</v>
      </c>
      <c r="P162" s="31" t="n">
        <v>0</v>
      </c>
      <c r="Q162" s="29"/>
      <c r="R162" s="32" t="s">
        <v>63</v>
      </c>
      <c r="S162" s="29"/>
      <c r="T162" s="28" t="s">
        <v>479</v>
      </c>
    </row>
    <row r="163" customFormat="false" ht="15.75" hidden="false" customHeight="true" outlineLevel="0" collapsed="false">
      <c r="A163" s="24" t="s">
        <v>504</v>
      </c>
      <c r="B163" s="24" t="s">
        <v>505</v>
      </c>
      <c r="C163" s="24" t="s">
        <v>346</v>
      </c>
      <c r="D163" s="24" t="s">
        <v>506</v>
      </c>
      <c r="E163" s="24" t="s">
        <v>57</v>
      </c>
      <c r="F163" s="21" t="s">
        <v>58</v>
      </c>
      <c r="G163" s="24" t="s">
        <v>59</v>
      </c>
      <c r="H163" s="21" t="s">
        <v>98</v>
      </c>
      <c r="I163" s="21" t="s">
        <v>99</v>
      </c>
      <c r="J163" s="24" t="s">
        <v>83</v>
      </c>
      <c r="K163" s="25" t="n">
        <v>89</v>
      </c>
      <c r="L163" s="26" t="n">
        <v>189</v>
      </c>
      <c r="M163" s="26" t="n">
        <v>189</v>
      </c>
      <c r="N163" s="26" t="n">
        <v>16821</v>
      </c>
      <c r="O163" s="26" t="n">
        <v>16821</v>
      </c>
      <c r="P163" s="26" t="n">
        <v>0</v>
      </c>
      <c r="Q163" s="21"/>
      <c r="R163" s="27" t="s">
        <v>63</v>
      </c>
      <c r="S163" s="21"/>
      <c r="T163" s="24" t="s">
        <v>479</v>
      </c>
    </row>
    <row r="164" customFormat="false" ht="15.75" hidden="false" customHeight="true" outlineLevel="0" collapsed="false">
      <c r="A164" s="28" t="s">
        <v>507</v>
      </c>
      <c r="B164" s="28" t="s">
        <v>508</v>
      </c>
      <c r="C164" s="28" t="s">
        <v>346</v>
      </c>
      <c r="D164" s="28" t="s">
        <v>452</v>
      </c>
      <c r="E164" s="28" t="s">
        <v>109</v>
      </c>
      <c r="F164" s="29" t="s">
        <v>110</v>
      </c>
      <c r="G164" s="28" t="s">
        <v>111</v>
      </c>
      <c r="H164" s="29" t="s">
        <v>81</v>
      </c>
      <c r="I164" s="29" t="s">
        <v>82</v>
      </c>
      <c r="J164" s="28" t="s">
        <v>83</v>
      </c>
      <c r="K164" s="30" t="n">
        <v>14</v>
      </c>
      <c r="L164" s="31" t="n">
        <v>38</v>
      </c>
      <c r="M164" s="31" t="n">
        <v>38</v>
      </c>
      <c r="N164" s="31" t="n">
        <v>532</v>
      </c>
      <c r="O164" s="31" t="n">
        <v>532</v>
      </c>
      <c r="P164" s="31" t="n">
        <v>0</v>
      </c>
      <c r="Q164" s="29"/>
      <c r="R164" s="32" t="s">
        <v>63</v>
      </c>
      <c r="S164" s="29"/>
      <c r="T164" s="28" t="s">
        <v>479</v>
      </c>
    </row>
    <row r="165" customFormat="false" ht="15.75" hidden="false" customHeight="true" outlineLevel="0" collapsed="false">
      <c r="A165" s="24" t="s">
        <v>509</v>
      </c>
      <c r="B165" s="24" t="s">
        <v>510</v>
      </c>
      <c r="C165" s="24" t="s">
        <v>425</v>
      </c>
      <c r="D165" s="24" t="s">
        <v>511</v>
      </c>
      <c r="E165" s="24" t="s">
        <v>118</v>
      </c>
      <c r="F165" s="21" t="s">
        <v>119</v>
      </c>
      <c r="G165" s="24" t="s">
        <v>120</v>
      </c>
      <c r="H165" s="21" t="s">
        <v>112</v>
      </c>
      <c r="I165" s="21" t="s">
        <v>113</v>
      </c>
      <c r="J165" s="24" t="s">
        <v>83</v>
      </c>
      <c r="K165" s="25" t="n">
        <v>108</v>
      </c>
      <c r="L165" s="26" t="n">
        <v>245</v>
      </c>
      <c r="M165" s="26" t="n">
        <v>245</v>
      </c>
      <c r="N165" s="26" t="n">
        <v>26460</v>
      </c>
      <c r="O165" s="26" t="n">
        <v>26460</v>
      </c>
      <c r="P165" s="26" t="n">
        <v>0</v>
      </c>
      <c r="Q165" s="21"/>
      <c r="R165" s="27" t="s">
        <v>63</v>
      </c>
      <c r="S165" s="21"/>
      <c r="T165" s="24" t="s">
        <v>479</v>
      </c>
    </row>
    <row r="166" customFormat="false" ht="15.75" hidden="false" customHeight="true" outlineLevel="0" collapsed="false">
      <c r="A166" s="28" t="s">
        <v>512</v>
      </c>
      <c r="B166" s="28" t="s">
        <v>513</v>
      </c>
      <c r="C166" s="28" t="s">
        <v>349</v>
      </c>
      <c r="D166" s="28" t="s">
        <v>428</v>
      </c>
      <c r="E166" s="28" t="s">
        <v>142</v>
      </c>
      <c r="F166" s="29" t="s">
        <v>143</v>
      </c>
      <c r="G166" s="28" t="s">
        <v>144</v>
      </c>
      <c r="H166" s="29" t="s">
        <v>138</v>
      </c>
      <c r="I166" s="29" t="s">
        <v>139</v>
      </c>
      <c r="J166" s="28" t="s">
        <v>83</v>
      </c>
      <c r="K166" s="30" t="n">
        <v>110</v>
      </c>
      <c r="L166" s="31" t="n">
        <v>185</v>
      </c>
      <c r="M166" s="31" t="n">
        <v>185</v>
      </c>
      <c r="N166" s="31" t="n">
        <v>20350</v>
      </c>
      <c r="O166" s="31" t="n">
        <v>20350</v>
      </c>
      <c r="P166" s="31" t="n">
        <v>0</v>
      </c>
      <c r="Q166" s="29"/>
      <c r="R166" s="32" t="s">
        <v>63</v>
      </c>
      <c r="S166" s="29"/>
      <c r="T166" s="28" t="s">
        <v>479</v>
      </c>
    </row>
    <row r="167" customFormat="false" ht="15.75" hidden="false" customHeight="true" outlineLevel="0" collapsed="false">
      <c r="A167" s="24" t="s">
        <v>514</v>
      </c>
      <c r="B167" s="24" t="s">
        <v>515</v>
      </c>
      <c r="C167" s="24" t="s">
        <v>346</v>
      </c>
      <c r="D167" s="24" t="s">
        <v>516</v>
      </c>
      <c r="E167" s="24" t="s">
        <v>87</v>
      </c>
      <c r="F167" s="21" t="s">
        <v>88</v>
      </c>
      <c r="G167" s="24" t="s">
        <v>89</v>
      </c>
      <c r="H167" s="21" t="s">
        <v>138</v>
      </c>
      <c r="I167" s="21" t="s">
        <v>139</v>
      </c>
      <c r="J167" s="24" t="s">
        <v>83</v>
      </c>
      <c r="K167" s="25" t="n">
        <v>165</v>
      </c>
      <c r="L167" s="26" t="n">
        <v>185</v>
      </c>
      <c r="M167" s="26" t="n">
        <v>185</v>
      </c>
      <c r="N167" s="26" t="n">
        <v>30525</v>
      </c>
      <c r="O167" s="26" t="n">
        <v>30525</v>
      </c>
      <c r="P167" s="26" t="n">
        <v>0</v>
      </c>
      <c r="Q167" s="21"/>
      <c r="R167" s="27" t="s">
        <v>63</v>
      </c>
      <c r="S167" s="21"/>
      <c r="T167" s="24" t="s">
        <v>479</v>
      </c>
    </row>
    <row r="168" customFormat="false" ht="15.75" hidden="false" customHeight="true" outlineLevel="0" collapsed="false">
      <c r="A168" s="28" t="s">
        <v>517</v>
      </c>
      <c r="B168" s="28" t="s">
        <v>518</v>
      </c>
      <c r="C168" s="28" t="s">
        <v>487</v>
      </c>
      <c r="D168" s="28" t="s">
        <v>519</v>
      </c>
      <c r="E168" s="28" t="s">
        <v>95</v>
      </c>
      <c r="F168" s="29" t="s">
        <v>96</v>
      </c>
      <c r="G168" s="28" t="s">
        <v>97</v>
      </c>
      <c r="H168" s="29" t="s">
        <v>81</v>
      </c>
      <c r="I168" s="29" t="s">
        <v>82</v>
      </c>
      <c r="J168" s="28" t="s">
        <v>83</v>
      </c>
      <c r="K168" s="30" t="n">
        <v>38</v>
      </c>
      <c r="L168" s="31" t="n">
        <v>38</v>
      </c>
      <c r="M168" s="31" t="n">
        <v>38</v>
      </c>
      <c r="N168" s="31" t="n">
        <v>1444</v>
      </c>
      <c r="O168" s="31" t="n">
        <v>1444</v>
      </c>
      <c r="P168" s="31" t="n">
        <v>0</v>
      </c>
      <c r="Q168" s="29"/>
      <c r="R168" s="32" t="s">
        <v>63</v>
      </c>
      <c r="S168" s="29"/>
      <c r="T168" s="28" t="s">
        <v>479</v>
      </c>
    </row>
    <row r="169" customFormat="false" ht="15.75" hidden="false" customHeight="true" outlineLevel="0" collapsed="false">
      <c r="A169" s="24" t="s">
        <v>520</v>
      </c>
      <c r="B169" s="24" t="s">
        <v>521</v>
      </c>
      <c r="C169" s="24" t="s">
        <v>425</v>
      </c>
      <c r="D169" s="24" t="s">
        <v>522</v>
      </c>
      <c r="E169" s="24" t="s">
        <v>223</v>
      </c>
      <c r="F169" s="21" t="s">
        <v>224</v>
      </c>
      <c r="G169" s="24" t="s">
        <v>225</v>
      </c>
      <c r="H169" s="21" t="s">
        <v>112</v>
      </c>
      <c r="I169" s="21" t="s">
        <v>113</v>
      </c>
      <c r="J169" s="24" t="s">
        <v>83</v>
      </c>
      <c r="K169" s="25" t="n">
        <v>12</v>
      </c>
      <c r="L169" s="26" t="n">
        <v>245</v>
      </c>
      <c r="M169" s="26" t="n">
        <v>245</v>
      </c>
      <c r="N169" s="26" t="n">
        <v>2940</v>
      </c>
      <c r="O169" s="26" t="n">
        <v>2940</v>
      </c>
      <c r="P169" s="26" t="n">
        <v>0</v>
      </c>
      <c r="Q169" s="21"/>
      <c r="R169" s="27" t="s">
        <v>63</v>
      </c>
      <c r="S169" s="21"/>
      <c r="T169" s="24" t="s">
        <v>479</v>
      </c>
    </row>
    <row r="170" customFormat="false" ht="15.75" hidden="false" customHeight="true" outlineLevel="0" collapsed="false">
      <c r="A170" s="28" t="s">
        <v>523</v>
      </c>
      <c r="B170" s="28" t="s">
        <v>524</v>
      </c>
      <c r="C170" s="28" t="s">
        <v>349</v>
      </c>
      <c r="D170" s="28" t="s">
        <v>499</v>
      </c>
      <c r="E170" s="28" t="s">
        <v>135</v>
      </c>
      <c r="F170" s="29" t="s">
        <v>136</v>
      </c>
      <c r="G170" s="28" t="s">
        <v>137</v>
      </c>
      <c r="H170" s="29" t="s">
        <v>90</v>
      </c>
      <c r="I170" s="29" t="s">
        <v>91</v>
      </c>
      <c r="J170" s="28" t="s">
        <v>70</v>
      </c>
      <c r="K170" s="30" t="n">
        <v>146</v>
      </c>
      <c r="L170" s="31" t="n">
        <v>8.75</v>
      </c>
      <c r="M170" s="31" t="n">
        <v>8.75</v>
      </c>
      <c r="N170" s="31" t="n">
        <v>1277.5</v>
      </c>
      <c r="O170" s="31" t="n">
        <v>1277.5</v>
      </c>
      <c r="P170" s="31" t="n">
        <v>0</v>
      </c>
      <c r="Q170" s="29"/>
      <c r="R170" s="32" t="s">
        <v>63</v>
      </c>
      <c r="S170" s="29"/>
      <c r="T170" s="28" t="s">
        <v>479</v>
      </c>
    </row>
    <row r="171" customFormat="false" ht="15.75" hidden="false" customHeight="true" outlineLevel="0" collapsed="false">
      <c r="A171" s="24" t="s">
        <v>525</v>
      </c>
      <c r="B171" s="24" t="s">
        <v>526</v>
      </c>
      <c r="C171" s="24" t="s">
        <v>349</v>
      </c>
      <c r="D171" s="24" t="s">
        <v>491</v>
      </c>
      <c r="E171" s="24" t="s">
        <v>152</v>
      </c>
      <c r="F171" s="21" t="s">
        <v>153</v>
      </c>
      <c r="G171" s="24" t="s">
        <v>154</v>
      </c>
      <c r="H171" s="21" t="s">
        <v>112</v>
      </c>
      <c r="I171" s="21" t="s">
        <v>113</v>
      </c>
      <c r="J171" s="24" t="s">
        <v>83</v>
      </c>
      <c r="K171" s="25" t="n">
        <v>123</v>
      </c>
      <c r="L171" s="26" t="n">
        <v>245</v>
      </c>
      <c r="M171" s="26" t="n">
        <v>245</v>
      </c>
      <c r="N171" s="26" t="n">
        <v>30135</v>
      </c>
      <c r="O171" s="26" t="n">
        <v>30135</v>
      </c>
      <c r="P171" s="26" t="n">
        <v>0</v>
      </c>
      <c r="Q171" s="21"/>
      <c r="R171" s="27" t="s">
        <v>63</v>
      </c>
      <c r="S171" s="21"/>
      <c r="T171" s="24" t="s">
        <v>479</v>
      </c>
    </row>
    <row r="172" customFormat="false" ht="15.75" hidden="false" customHeight="true" outlineLevel="0" collapsed="false">
      <c r="A172" s="28" t="s">
        <v>527</v>
      </c>
      <c r="B172" s="28" t="s">
        <v>528</v>
      </c>
      <c r="C172" s="28" t="s">
        <v>425</v>
      </c>
      <c r="D172" s="28" t="s">
        <v>516</v>
      </c>
      <c r="E172" s="28" t="s">
        <v>223</v>
      </c>
      <c r="F172" s="29" t="s">
        <v>224</v>
      </c>
      <c r="G172" s="28" t="s">
        <v>225</v>
      </c>
      <c r="H172" s="29" t="s">
        <v>278</v>
      </c>
      <c r="I172" s="29" t="s">
        <v>279</v>
      </c>
      <c r="J172" s="28" t="s">
        <v>83</v>
      </c>
      <c r="K172" s="30" t="n">
        <v>79</v>
      </c>
      <c r="L172" s="31" t="n">
        <v>95</v>
      </c>
      <c r="M172" s="31" t="n">
        <v>95</v>
      </c>
      <c r="N172" s="31" t="n">
        <v>7505</v>
      </c>
      <c r="O172" s="31" t="n">
        <v>7505</v>
      </c>
      <c r="P172" s="31" t="n">
        <v>0</v>
      </c>
      <c r="Q172" s="29"/>
      <c r="R172" s="32" t="s">
        <v>63</v>
      </c>
      <c r="S172" s="29"/>
      <c r="T172" s="28" t="s">
        <v>479</v>
      </c>
    </row>
    <row r="173" customFormat="false" ht="15.75" hidden="false" customHeight="true" outlineLevel="0" collapsed="false">
      <c r="A173" s="24" t="s">
        <v>529</v>
      </c>
      <c r="B173" s="24" t="s">
        <v>530</v>
      </c>
      <c r="C173" s="24" t="s">
        <v>346</v>
      </c>
      <c r="D173" s="24" t="s">
        <v>494</v>
      </c>
      <c r="E173" s="24" t="s">
        <v>223</v>
      </c>
      <c r="F173" s="21" t="s">
        <v>224</v>
      </c>
      <c r="G173" s="24" t="s">
        <v>225</v>
      </c>
      <c r="H173" s="21" t="s">
        <v>138</v>
      </c>
      <c r="I173" s="21" t="s">
        <v>139</v>
      </c>
      <c r="J173" s="24" t="s">
        <v>83</v>
      </c>
      <c r="K173" s="25" t="n">
        <v>67</v>
      </c>
      <c r="L173" s="26" t="n">
        <v>185</v>
      </c>
      <c r="M173" s="26" t="n">
        <v>185</v>
      </c>
      <c r="N173" s="26" t="n">
        <v>12395</v>
      </c>
      <c r="O173" s="26" t="n">
        <v>12395</v>
      </c>
      <c r="P173" s="26" t="n">
        <v>0</v>
      </c>
      <c r="Q173" s="21"/>
      <c r="R173" s="27" t="s">
        <v>63</v>
      </c>
      <c r="S173" s="21"/>
      <c r="T173" s="24" t="s">
        <v>479</v>
      </c>
    </row>
    <row r="174" customFormat="false" ht="15.75" hidden="false" customHeight="true" outlineLevel="0" collapsed="false">
      <c r="A174" s="28" t="s">
        <v>531</v>
      </c>
      <c r="B174" s="28" t="s">
        <v>532</v>
      </c>
      <c r="C174" s="28" t="s">
        <v>371</v>
      </c>
      <c r="D174" s="28" t="s">
        <v>506</v>
      </c>
      <c r="E174" s="28" t="s">
        <v>152</v>
      </c>
      <c r="F174" s="29" t="s">
        <v>153</v>
      </c>
      <c r="G174" s="28" t="s">
        <v>154</v>
      </c>
      <c r="H174" s="29" t="s">
        <v>121</v>
      </c>
      <c r="I174" s="29" t="s">
        <v>122</v>
      </c>
      <c r="J174" s="28" t="s">
        <v>123</v>
      </c>
      <c r="K174" s="30" t="n">
        <v>135</v>
      </c>
      <c r="L174" s="31" t="n">
        <v>62</v>
      </c>
      <c r="M174" s="31" t="n">
        <v>62</v>
      </c>
      <c r="N174" s="31" t="n">
        <v>8370</v>
      </c>
      <c r="O174" s="31" t="n">
        <v>8370</v>
      </c>
      <c r="P174" s="31" t="n">
        <v>0</v>
      </c>
      <c r="Q174" s="29"/>
      <c r="R174" s="32" t="s">
        <v>63</v>
      </c>
      <c r="S174" s="29"/>
      <c r="T174" s="28" t="s">
        <v>479</v>
      </c>
    </row>
    <row r="175" customFormat="false" ht="15.75" hidden="false" customHeight="true" outlineLevel="0" collapsed="false">
      <c r="A175" s="38" t="s">
        <v>533</v>
      </c>
      <c r="B175" s="38" t="s">
        <v>534</v>
      </c>
      <c r="C175" s="38" t="s">
        <v>487</v>
      </c>
      <c r="D175" s="38" t="s">
        <v>516</v>
      </c>
      <c r="E175" s="38" t="s">
        <v>109</v>
      </c>
      <c r="F175" s="39" t="s">
        <v>110</v>
      </c>
      <c r="G175" s="38" t="s">
        <v>111</v>
      </c>
      <c r="H175" s="39" t="s">
        <v>161</v>
      </c>
      <c r="I175" s="39" t="s">
        <v>162</v>
      </c>
      <c r="J175" s="38" t="s">
        <v>83</v>
      </c>
      <c r="K175" s="40" t="n">
        <v>134</v>
      </c>
      <c r="L175" s="41" t="n">
        <v>52.52</v>
      </c>
      <c r="M175" s="41" t="n">
        <v>45</v>
      </c>
      <c r="N175" s="41" t="n">
        <v>7037.68</v>
      </c>
      <c r="O175" s="41" t="n">
        <v>6030</v>
      </c>
      <c r="P175" s="41" t="n">
        <v>1007.68</v>
      </c>
      <c r="Q175" s="39" t="s">
        <v>183</v>
      </c>
      <c r="R175" s="42" t="s">
        <v>535</v>
      </c>
      <c r="S175" s="39" t="s">
        <v>536</v>
      </c>
      <c r="T175" s="38" t="s">
        <v>479</v>
      </c>
    </row>
    <row r="176" customFormat="false" ht="15.75" hidden="false" customHeight="true" outlineLevel="0" collapsed="false">
      <c r="A176" s="28" t="s">
        <v>537</v>
      </c>
      <c r="B176" s="28" t="s">
        <v>538</v>
      </c>
      <c r="C176" s="28" t="s">
        <v>487</v>
      </c>
      <c r="D176" s="28" t="s">
        <v>433</v>
      </c>
      <c r="E176" s="28" t="s">
        <v>223</v>
      </c>
      <c r="F176" s="29" t="s">
        <v>224</v>
      </c>
      <c r="G176" s="28" t="s">
        <v>225</v>
      </c>
      <c r="H176" s="29" t="s">
        <v>81</v>
      </c>
      <c r="I176" s="29" t="s">
        <v>82</v>
      </c>
      <c r="J176" s="28" t="s">
        <v>83</v>
      </c>
      <c r="K176" s="30" t="n">
        <v>128</v>
      </c>
      <c r="L176" s="31" t="n">
        <v>38</v>
      </c>
      <c r="M176" s="31" t="n">
        <v>38</v>
      </c>
      <c r="N176" s="31" t="n">
        <v>4864</v>
      </c>
      <c r="O176" s="31" t="n">
        <v>4864</v>
      </c>
      <c r="P176" s="31" t="n">
        <v>0</v>
      </c>
      <c r="Q176" s="29"/>
      <c r="R176" s="32" t="s">
        <v>63</v>
      </c>
      <c r="S176" s="29"/>
      <c r="T176" s="28" t="s">
        <v>479</v>
      </c>
    </row>
    <row r="177" customFormat="false" ht="15.75" hidden="false" customHeight="true" outlineLevel="0" collapsed="false">
      <c r="A177" s="24" t="s">
        <v>539</v>
      </c>
      <c r="B177" s="24" t="s">
        <v>540</v>
      </c>
      <c r="C177" s="24" t="s">
        <v>487</v>
      </c>
      <c r="D177" s="24" t="s">
        <v>516</v>
      </c>
      <c r="E177" s="24" t="s">
        <v>142</v>
      </c>
      <c r="F177" s="21" t="s">
        <v>143</v>
      </c>
      <c r="G177" s="24" t="s">
        <v>144</v>
      </c>
      <c r="H177" s="21" t="s">
        <v>213</v>
      </c>
      <c r="I177" s="21" t="s">
        <v>214</v>
      </c>
      <c r="J177" s="24" t="s">
        <v>83</v>
      </c>
      <c r="K177" s="25" t="n">
        <v>121</v>
      </c>
      <c r="L177" s="26" t="n">
        <v>560</v>
      </c>
      <c r="M177" s="26" t="n">
        <v>560</v>
      </c>
      <c r="N177" s="26" t="n">
        <v>67760</v>
      </c>
      <c r="O177" s="26" t="n">
        <v>67760</v>
      </c>
      <c r="P177" s="26" t="n">
        <v>0</v>
      </c>
      <c r="Q177" s="21"/>
      <c r="R177" s="27" t="s">
        <v>63</v>
      </c>
      <c r="S177" s="21"/>
      <c r="T177" s="24" t="s">
        <v>479</v>
      </c>
    </row>
    <row r="178" customFormat="false" ht="15.75" hidden="false" customHeight="true" outlineLevel="0" collapsed="false">
      <c r="A178" s="28" t="s">
        <v>541</v>
      </c>
      <c r="B178" s="28" t="s">
        <v>542</v>
      </c>
      <c r="C178" s="28" t="s">
        <v>393</v>
      </c>
      <c r="D178" s="28" t="s">
        <v>543</v>
      </c>
      <c r="E178" s="28" t="s">
        <v>152</v>
      </c>
      <c r="F178" s="29" t="s">
        <v>153</v>
      </c>
      <c r="G178" s="28" t="s">
        <v>154</v>
      </c>
      <c r="H178" s="29" t="s">
        <v>121</v>
      </c>
      <c r="I178" s="29" t="s">
        <v>122</v>
      </c>
      <c r="J178" s="28" t="s">
        <v>123</v>
      </c>
      <c r="K178" s="30" t="n">
        <v>103</v>
      </c>
      <c r="L178" s="31" t="n">
        <v>62</v>
      </c>
      <c r="M178" s="31" t="n">
        <v>62</v>
      </c>
      <c r="N178" s="31" t="n">
        <v>6386</v>
      </c>
      <c r="O178" s="31" t="n">
        <v>6386</v>
      </c>
      <c r="P178" s="31" t="n">
        <v>0</v>
      </c>
      <c r="Q178" s="29"/>
      <c r="R178" s="32" t="s">
        <v>63</v>
      </c>
      <c r="S178" s="29"/>
      <c r="T178" s="28" t="s">
        <v>544</v>
      </c>
    </row>
    <row r="179" customFormat="false" ht="15.75" hidden="false" customHeight="true" outlineLevel="0" collapsed="false">
      <c r="A179" s="24" t="s">
        <v>545</v>
      </c>
      <c r="B179" s="24" t="s">
        <v>546</v>
      </c>
      <c r="C179" s="24" t="s">
        <v>428</v>
      </c>
      <c r="D179" s="24" t="s">
        <v>543</v>
      </c>
      <c r="E179" s="24" t="s">
        <v>75</v>
      </c>
      <c r="F179" s="21" t="s">
        <v>76</v>
      </c>
      <c r="G179" s="24" t="s">
        <v>77</v>
      </c>
      <c r="H179" s="21" t="s">
        <v>161</v>
      </c>
      <c r="I179" s="21" t="s">
        <v>162</v>
      </c>
      <c r="J179" s="24" t="s">
        <v>83</v>
      </c>
      <c r="K179" s="25" t="n">
        <v>195</v>
      </c>
      <c r="L179" s="26" t="n">
        <v>45</v>
      </c>
      <c r="M179" s="26" t="n">
        <v>45</v>
      </c>
      <c r="N179" s="26" t="n">
        <v>8775</v>
      </c>
      <c r="O179" s="26" t="n">
        <v>8775</v>
      </c>
      <c r="P179" s="26" t="n">
        <v>0</v>
      </c>
      <c r="Q179" s="21"/>
      <c r="R179" s="27" t="s">
        <v>63</v>
      </c>
      <c r="S179" s="21"/>
      <c r="T179" s="24" t="s">
        <v>544</v>
      </c>
    </row>
    <row r="180" customFormat="false" ht="15.75" hidden="false" customHeight="true" outlineLevel="0" collapsed="false">
      <c r="A180" s="28" t="s">
        <v>547</v>
      </c>
      <c r="B180" s="28" t="s">
        <v>548</v>
      </c>
      <c r="C180" s="28" t="s">
        <v>393</v>
      </c>
      <c r="D180" s="28" t="s">
        <v>516</v>
      </c>
      <c r="E180" s="28" t="s">
        <v>109</v>
      </c>
      <c r="F180" s="29" t="s">
        <v>110</v>
      </c>
      <c r="G180" s="28" t="s">
        <v>111</v>
      </c>
      <c r="H180" s="29" t="s">
        <v>213</v>
      </c>
      <c r="I180" s="29" t="s">
        <v>214</v>
      </c>
      <c r="J180" s="28" t="s">
        <v>83</v>
      </c>
      <c r="K180" s="30" t="n">
        <v>174</v>
      </c>
      <c r="L180" s="31" t="n">
        <v>560</v>
      </c>
      <c r="M180" s="31" t="n">
        <v>560</v>
      </c>
      <c r="N180" s="31" t="n">
        <v>97440</v>
      </c>
      <c r="O180" s="31" t="n">
        <v>97440</v>
      </c>
      <c r="P180" s="31" t="n">
        <v>0</v>
      </c>
      <c r="Q180" s="29"/>
      <c r="R180" s="32" t="s">
        <v>63</v>
      </c>
      <c r="S180" s="29"/>
      <c r="T180" s="28" t="s">
        <v>544</v>
      </c>
    </row>
    <row r="181" customFormat="false" ht="15.75" hidden="false" customHeight="true" outlineLevel="0" collapsed="false">
      <c r="A181" s="24" t="s">
        <v>549</v>
      </c>
      <c r="B181" s="24" t="s">
        <v>550</v>
      </c>
      <c r="C181" s="24" t="s">
        <v>364</v>
      </c>
      <c r="D181" s="24" t="s">
        <v>551</v>
      </c>
      <c r="E181" s="24" t="s">
        <v>135</v>
      </c>
      <c r="F181" s="21" t="s">
        <v>136</v>
      </c>
      <c r="G181" s="24" t="s">
        <v>137</v>
      </c>
      <c r="H181" s="21" t="s">
        <v>81</v>
      </c>
      <c r="I181" s="21" t="s">
        <v>82</v>
      </c>
      <c r="J181" s="24" t="s">
        <v>83</v>
      </c>
      <c r="K181" s="25" t="n">
        <v>156</v>
      </c>
      <c r="L181" s="26" t="n">
        <v>38</v>
      </c>
      <c r="M181" s="26" t="n">
        <v>38</v>
      </c>
      <c r="N181" s="26" t="n">
        <v>5928</v>
      </c>
      <c r="O181" s="26" t="n">
        <v>5928</v>
      </c>
      <c r="P181" s="26" t="n">
        <v>0</v>
      </c>
      <c r="Q181" s="21"/>
      <c r="R181" s="27" t="s">
        <v>63</v>
      </c>
      <c r="S181" s="21"/>
      <c r="T181" s="24" t="s">
        <v>544</v>
      </c>
    </row>
    <row r="182" customFormat="false" ht="15.75" hidden="false" customHeight="true" outlineLevel="0" collapsed="false">
      <c r="A182" s="28" t="s">
        <v>552</v>
      </c>
      <c r="B182" s="28" t="s">
        <v>553</v>
      </c>
      <c r="C182" s="28" t="s">
        <v>428</v>
      </c>
      <c r="D182" s="28" t="s">
        <v>491</v>
      </c>
      <c r="E182" s="28" t="s">
        <v>223</v>
      </c>
      <c r="F182" s="29" t="s">
        <v>224</v>
      </c>
      <c r="G182" s="28" t="s">
        <v>225</v>
      </c>
      <c r="H182" s="29" t="s">
        <v>112</v>
      </c>
      <c r="I182" s="29" t="s">
        <v>113</v>
      </c>
      <c r="J182" s="28" t="s">
        <v>83</v>
      </c>
      <c r="K182" s="30" t="n">
        <v>139</v>
      </c>
      <c r="L182" s="31" t="n">
        <v>245</v>
      </c>
      <c r="M182" s="31" t="n">
        <v>245</v>
      </c>
      <c r="N182" s="31" t="n">
        <v>34055</v>
      </c>
      <c r="O182" s="31" t="n">
        <v>34055</v>
      </c>
      <c r="P182" s="31" t="n">
        <v>0</v>
      </c>
      <c r="Q182" s="29"/>
      <c r="R182" s="32" t="s">
        <v>63</v>
      </c>
      <c r="S182" s="29"/>
      <c r="T182" s="28" t="s">
        <v>544</v>
      </c>
    </row>
    <row r="183" customFormat="false" ht="15.75" hidden="false" customHeight="true" outlineLevel="0" collapsed="false">
      <c r="A183" s="24" t="s">
        <v>554</v>
      </c>
      <c r="B183" s="24" t="s">
        <v>555</v>
      </c>
      <c r="C183" s="24" t="s">
        <v>374</v>
      </c>
      <c r="D183" s="24" t="s">
        <v>506</v>
      </c>
      <c r="E183" s="24" t="s">
        <v>109</v>
      </c>
      <c r="F183" s="21" t="s">
        <v>110</v>
      </c>
      <c r="G183" s="24" t="s">
        <v>111</v>
      </c>
      <c r="H183" s="21" t="s">
        <v>68</v>
      </c>
      <c r="I183" s="21" t="s">
        <v>69</v>
      </c>
      <c r="J183" s="24" t="s">
        <v>70</v>
      </c>
      <c r="K183" s="25" t="n">
        <v>44</v>
      </c>
      <c r="L183" s="26" t="n">
        <v>3.2</v>
      </c>
      <c r="M183" s="26" t="n">
        <v>3.2</v>
      </c>
      <c r="N183" s="26" t="n">
        <v>140.8</v>
      </c>
      <c r="O183" s="26" t="n">
        <v>140.8</v>
      </c>
      <c r="P183" s="26" t="n">
        <v>0</v>
      </c>
      <c r="Q183" s="21"/>
      <c r="R183" s="27" t="s">
        <v>63</v>
      </c>
      <c r="S183" s="21"/>
      <c r="T183" s="24" t="s">
        <v>544</v>
      </c>
    </row>
    <row r="184" customFormat="false" ht="15.75" hidden="false" customHeight="true" outlineLevel="0" collapsed="false">
      <c r="A184" s="28" t="s">
        <v>556</v>
      </c>
      <c r="B184" s="28" t="s">
        <v>557</v>
      </c>
      <c r="C184" s="28" t="s">
        <v>428</v>
      </c>
      <c r="D184" s="28" t="s">
        <v>558</v>
      </c>
      <c r="E184" s="28" t="s">
        <v>95</v>
      </c>
      <c r="F184" s="29" t="s">
        <v>96</v>
      </c>
      <c r="G184" s="28" t="s">
        <v>97</v>
      </c>
      <c r="H184" s="29" t="s">
        <v>161</v>
      </c>
      <c r="I184" s="29" t="s">
        <v>162</v>
      </c>
      <c r="J184" s="28" t="s">
        <v>83</v>
      </c>
      <c r="K184" s="30" t="n">
        <v>164</v>
      </c>
      <c r="L184" s="31" t="n">
        <v>45</v>
      </c>
      <c r="M184" s="31" t="n">
        <v>45</v>
      </c>
      <c r="N184" s="31" t="n">
        <v>7380</v>
      </c>
      <c r="O184" s="31" t="n">
        <v>7380</v>
      </c>
      <c r="P184" s="31" t="n">
        <v>0</v>
      </c>
      <c r="Q184" s="29"/>
      <c r="R184" s="32" t="s">
        <v>63</v>
      </c>
      <c r="S184" s="29"/>
      <c r="T184" s="28" t="s">
        <v>544</v>
      </c>
    </row>
    <row r="185" customFormat="false" ht="15.75" hidden="false" customHeight="true" outlineLevel="0" collapsed="false">
      <c r="A185" s="24" t="s">
        <v>559</v>
      </c>
      <c r="B185" s="24" t="s">
        <v>560</v>
      </c>
      <c r="C185" s="24" t="s">
        <v>428</v>
      </c>
      <c r="D185" s="24" t="s">
        <v>516</v>
      </c>
      <c r="E185" s="24" t="s">
        <v>118</v>
      </c>
      <c r="F185" s="21" t="s">
        <v>119</v>
      </c>
      <c r="G185" s="24" t="s">
        <v>120</v>
      </c>
      <c r="H185" s="21" t="s">
        <v>68</v>
      </c>
      <c r="I185" s="21" t="s">
        <v>69</v>
      </c>
      <c r="J185" s="24" t="s">
        <v>70</v>
      </c>
      <c r="K185" s="25" t="n">
        <v>141</v>
      </c>
      <c r="L185" s="26" t="n">
        <v>3.2</v>
      </c>
      <c r="M185" s="26" t="n">
        <v>3.2</v>
      </c>
      <c r="N185" s="26" t="n">
        <v>451.2</v>
      </c>
      <c r="O185" s="26" t="n">
        <v>451.2</v>
      </c>
      <c r="P185" s="26" t="n">
        <v>0</v>
      </c>
      <c r="Q185" s="21"/>
      <c r="R185" s="27" t="s">
        <v>63</v>
      </c>
      <c r="S185" s="21"/>
      <c r="T185" s="24" t="s">
        <v>544</v>
      </c>
    </row>
    <row r="186" customFormat="false" ht="15.75" hidden="false" customHeight="true" outlineLevel="0" collapsed="false">
      <c r="A186" s="28" t="s">
        <v>561</v>
      </c>
      <c r="B186" s="28" t="s">
        <v>562</v>
      </c>
      <c r="C186" s="28" t="s">
        <v>452</v>
      </c>
      <c r="D186" s="28" t="s">
        <v>563</v>
      </c>
      <c r="E186" s="28" t="s">
        <v>223</v>
      </c>
      <c r="F186" s="29" t="s">
        <v>224</v>
      </c>
      <c r="G186" s="28" t="s">
        <v>225</v>
      </c>
      <c r="H186" s="29" t="s">
        <v>81</v>
      </c>
      <c r="I186" s="29" t="s">
        <v>82</v>
      </c>
      <c r="J186" s="28" t="s">
        <v>83</v>
      </c>
      <c r="K186" s="30" t="n">
        <v>14</v>
      </c>
      <c r="L186" s="31" t="n">
        <v>38</v>
      </c>
      <c r="M186" s="31" t="n">
        <v>38</v>
      </c>
      <c r="N186" s="31" t="n">
        <v>532</v>
      </c>
      <c r="O186" s="31" t="n">
        <v>532</v>
      </c>
      <c r="P186" s="31" t="n">
        <v>0</v>
      </c>
      <c r="Q186" s="29"/>
      <c r="R186" s="32" t="s">
        <v>63</v>
      </c>
      <c r="S186" s="29"/>
      <c r="T186" s="28" t="s">
        <v>544</v>
      </c>
    </row>
    <row r="187" customFormat="false" ht="15.75" hidden="false" customHeight="true" outlineLevel="0" collapsed="false">
      <c r="A187" s="24" t="s">
        <v>564</v>
      </c>
      <c r="B187" s="24" t="s">
        <v>565</v>
      </c>
      <c r="C187" s="24" t="s">
        <v>374</v>
      </c>
      <c r="D187" s="24" t="s">
        <v>488</v>
      </c>
      <c r="E187" s="24" t="s">
        <v>95</v>
      </c>
      <c r="F187" s="21" t="s">
        <v>96</v>
      </c>
      <c r="G187" s="24" t="s">
        <v>97</v>
      </c>
      <c r="H187" s="21" t="s">
        <v>145</v>
      </c>
      <c r="I187" s="21" t="s">
        <v>146</v>
      </c>
      <c r="J187" s="24" t="s">
        <v>83</v>
      </c>
      <c r="K187" s="25" t="n">
        <v>196</v>
      </c>
      <c r="L187" s="26" t="n">
        <v>320</v>
      </c>
      <c r="M187" s="26" t="n">
        <v>320</v>
      </c>
      <c r="N187" s="26" t="n">
        <v>62720</v>
      </c>
      <c r="O187" s="26" t="n">
        <v>62720</v>
      </c>
      <c r="P187" s="26" t="n">
        <v>0</v>
      </c>
      <c r="Q187" s="21"/>
      <c r="R187" s="27" t="s">
        <v>63</v>
      </c>
      <c r="S187" s="21"/>
      <c r="T187" s="24" t="s">
        <v>544</v>
      </c>
    </row>
    <row r="188" customFormat="false" ht="15.75" hidden="false" customHeight="true" outlineLevel="0" collapsed="false">
      <c r="A188" s="28" t="s">
        <v>566</v>
      </c>
      <c r="B188" s="28" t="s">
        <v>567</v>
      </c>
      <c r="C188" s="28" t="s">
        <v>364</v>
      </c>
      <c r="D188" s="28" t="s">
        <v>568</v>
      </c>
      <c r="E188" s="28" t="s">
        <v>57</v>
      </c>
      <c r="F188" s="29" t="s">
        <v>58</v>
      </c>
      <c r="G188" s="28" t="s">
        <v>59</v>
      </c>
      <c r="H188" s="29" t="s">
        <v>138</v>
      </c>
      <c r="I188" s="29" t="s">
        <v>139</v>
      </c>
      <c r="J188" s="28" t="s">
        <v>83</v>
      </c>
      <c r="K188" s="30" t="n">
        <v>47</v>
      </c>
      <c r="L188" s="31" t="n">
        <v>185</v>
      </c>
      <c r="M188" s="31" t="n">
        <v>185</v>
      </c>
      <c r="N188" s="31" t="n">
        <v>8695</v>
      </c>
      <c r="O188" s="31" t="n">
        <v>8695</v>
      </c>
      <c r="P188" s="31" t="n">
        <v>0</v>
      </c>
      <c r="Q188" s="29"/>
      <c r="R188" s="32" t="s">
        <v>63</v>
      </c>
      <c r="S188" s="29"/>
      <c r="T188" s="28" t="s">
        <v>544</v>
      </c>
    </row>
    <row r="189" customFormat="false" ht="15.75" hidden="false" customHeight="true" outlineLevel="0" collapsed="false">
      <c r="A189" s="24" t="s">
        <v>569</v>
      </c>
      <c r="B189" s="24" t="s">
        <v>570</v>
      </c>
      <c r="C189" s="24" t="s">
        <v>364</v>
      </c>
      <c r="D189" s="24" t="s">
        <v>506</v>
      </c>
      <c r="E189" s="24" t="s">
        <v>118</v>
      </c>
      <c r="F189" s="21" t="s">
        <v>119</v>
      </c>
      <c r="G189" s="24" t="s">
        <v>120</v>
      </c>
      <c r="H189" s="21" t="s">
        <v>60</v>
      </c>
      <c r="I189" s="21" t="s">
        <v>61</v>
      </c>
      <c r="J189" s="24" t="s">
        <v>62</v>
      </c>
      <c r="K189" s="25" t="n">
        <v>80</v>
      </c>
      <c r="L189" s="26" t="n">
        <v>12.5</v>
      </c>
      <c r="M189" s="26" t="n">
        <v>12.5</v>
      </c>
      <c r="N189" s="26" t="n">
        <v>1000</v>
      </c>
      <c r="O189" s="26" t="n">
        <v>1000</v>
      </c>
      <c r="P189" s="26" t="n">
        <v>0</v>
      </c>
      <c r="Q189" s="21"/>
      <c r="R189" s="27" t="s">
        <v>63</v>
      </c>
      <c r="S189" s="21"/>
      <c r="T189" s="24" t="s">
        <v>544</v>
      </c>
    </row>
    <row r="190" customFormat="false" ht="15.75" hidden="false" customHeight="true" outlineLevel="0" collapsed="false">
      <c r="A190" s="28" t="s">
        <v>571</v>
      </c>
      <c r="B190" s="28" t="s">
        <v>572</v>
      </c>
      <c r="C190" s="28" t="s">
        <v>452</v>
      </c>
      <c r="D190" s="28" t="s">
        <v>543</v>
      </c>
      <c r="E190" s="28" t="s">
        <v>152</v>
      </c>
      <c r="F190" s="29" t="s">
        <v>153</v>
      </c>
      <c r="G190" s="28" t="s">
        <v>154</v>
      </c>
      <c r="H190" s="29" t="s">
        <v>81</v>
      </c>
      <c r="I190" s="29" t="s">
        <v>82</v>
      </c>
      <c r="J190" s="28" t="s">
        <v>83</v>
      </c>
      <c r="K190" s="30" t="n">
        <v>110</v>
      </c>
      <c r="L190" s="31" t="n">
        <v>38</v>
      </c>
      <c r="M190" s="31" t="n">
        <v>38</v>
      </c>
      <c r="N190" s="31" t="n">
        <v>4180</v>
      </c>
      <c r="O190" s="31" t="n">
        <v>4180</v>
      </c>
      <c r="P190" s="31" t="n">
        <v>0</v>
      </c>
      <c r="Q190" s="29"/>
      <c r="R190" s="32" t="s">
        <v>63</v>
      </c>
      <c r="S190" s="29"/>
      <c r="T190" s="28" t="s">
        <v>544</v>
      </c>
    </row>
    <row r="191" customFormat="false" ht="15.75" hidden="false" customHeight="true" outlineLevel="0" collapsed="false">
      <c r="A191" s="24" t="s">
        <v>573</v>
      </c>
      <c r="B191" s="24" t="s">
        <v>574</v>
      </c>
      <c r="C191" s="24" t="s">
        <v>452</v>
      </c>
      <c r="D191" s="24" t="s">
        <v>575</v>
      </c>
      <c r="E191" s="24" t="s">
        <v>135</v>
      </c>
      <c r="F191" s="21" t="s">
        <v>136</v>
      </c>
      <c r="G191" s="24" t="s">
        <v>137</v>
      </c>
      <c r="H191" s="21" t="s">
        <v>98</v>
      </c>
      <c r="I191" s="21" t="s">
        <v>99</v>
      </c>
      <c r="J191" s="24" t="s">
        <v>83</v>
      </c>
      <c r="K191" s="25" t="n">
        <v>25</v>
      </c>
      <c r="L191" s="26" t="n">
        <v>189</v>
      </c>
      <c r="M191" s="26" t="n">
        <v>189</v>
      </c>
      <c r="N191" s="26" t="n">
        <v>4725</v>
      </c>
      <c r="O191" s="26" t="n">
        <v>4725</v>
      </c>
      <c r="P191" s="26" t="n">
        <v>0</v>
      </c>
      <c r="Q191" s="21"/>
      <c r="R191" s="27" t="s">
        <v>63</v>
      </c>
      <c r="S191" s="21"/>
      <c r="T191" s="24" t="s">
        <v>544</v>
      </c>
    </row>
    <row r="192" customFormat="false" ht="15.75" hidden="false" customHeight="true" outlineLevel="0" collapsed="false">
      <c r="A192" s="28" t="s">
        <v>576</v>
      </c>
      <c r="B192" s="28" t="s">
        <v>577</v>
      </c>
      <c r="C192" s="28" t="s">
        <v>393</v>
      </c>
      <c r="D192" s="28" t="s">
        <v>494</v>
      </c>
      <c r="E192" s="28" t="s">
        <v>152</v>
      </c>
      <c r="F192" s="29" t="s">
        <v>153</v>
      </c>
      <c r="G192" s="28" t="s">
        <v>154</v>
      </c>
      <c r="H192" s="29" t="s">
        <v>138</v>
      </c>
      <c r="I192" s="29" t="s">
        <v>139</v>
      </c>
      <c r="J192" s="28" t="s">
        <v>83</v>
      </c>
      <c r="K192" s="30" t="n">
        <v>154</v>
      </c>
      <c r="L192" s="31" t="n">
        <v>185</v>
      </c>
      <c r="M192" s="31" t="n">
        <v>185</v>
      </c>
      <c r="N192" s="31" t="n">
        <v>28490</v>
      </c>
      <c r="O192" s="31" t="n">
        <v>28490</v>
      </c>
      <c r="P192" s="31" t="n">
        <v>0</v>
      </c>
      <c r="Q192" s="29"/>
      <c r="R192" s="32" t="s">
        <v>63</v>
      </c>
      <c r="S192" s="29"/>
      <c r="T192" s="28" t="s">
        <v>544</v>
      </c>
    </row>
    <row r="193" customFormat="false" ht="15.75" hidden="false" customHeight="true" outlineLevel="0" collapsed="false">
      <c r="A193" s="24" t="s">
        <v>578</v>
      </c>
      <c r="B193" s="24" t="s">
        <v>579</v>
      </c>
      <c r="C193" s="24" t="s">
        <v>374</v>
      </c>
      <c r="D193" s="24" t="s">
        <v>543</v>
      </c>
      <c r="E193" s="24" t="s">
        <v>95</v>
      </c>
      <c r="F193" s="21" t="s">
        <v>96</v>
      </c>
      <c r="G193" s="24" t="s">
        <v>97</v>
      </c>
      <c r="H193" s="21" t="s">
        <v>138</v>
      </c>
      <c r="I193" s="21" t="s">
        <v>139</v>
      </c>
      <c r="J193" s="24" t="s">
        <v>83</v>
      </c>
      <c r="K193" s="25" t="n">
        <v>70</v>
      </c>
      <c r="L193" s="26" t="n">
        <v>185</v>
      </c>
      <c r="M193" s="26" t="n">
        <v>185</v>
      </c>
      <c r="N193" s="26" t="n">
        <v>12950</v>
      </c>
      <c r="O193" s="26" t="n">
        <v>12950</v>
      </c>
      <c r="P193" s="26" t="n">
        <v>0</v>
      </c>
      <c r="Q193" s="21"/>
      <c r="R193" s="27" t="s">
        <v>63</v>
      </c>
      <c r="S193" s="21"/>
      <c r="T193" s="24" t="s">
        <v>544</v>
      </c>
    </row>
    <row r="194" customFormat="false" ht="15.75" hidden="false" customHeight="true" outlineLevel="0" collapsed="false">
      <c r="A194" s="28" t="s">
        <v>580</v>
      </c>
      <c r="B194" s="28" t="s">
        <v>581</v>
      </c>
      <c r="C194" s="28" t="s">
        <v>393</v>
      </c>
      <c r="D194" s="28" t="s">
        <v>519</v>
      </c>
      <c r="E194" s="28" t="s">
        <v>95</v>
      </c>
      <c r="F194" s="29" t="s">
        <v>96</v>
      </c>
      <c r="G194" s="28" t="s">
        <v>97</v>
      </c>
      <c r="H194" s="29" t="s">
        <v>68</v>
      </c>
      <c r="I194" s="29" t="s">
        <v>69</v>
      </c>
      <c r="J194" s="28" t="s">
        <v>70</v>
      </c>
      <c r="K194" s="30" t="n">
        <v>144</v>
      </c>
      <c r="L194" s="31" t="n">
        <v>3.2</v>
      </c>
      <c r="M194" s="31" t="n">
        <v>3.2</v>
      </c>
      <c r="N194" s="31" t="n">
        <v>460.8</v>
      </c>
      <c r="O194" s="31" t="n">
        <v>460.8</v>
      </c>
      <c r="P194" s="31" t="n">
        <v>0</v>
      </c>
      <c r="Q194" s="29"/>
      <c r="R194" s="32" t="s">
        <v>63</v>
      </c>
      <c r="S194" s="29"/>
      <c r="T194" s="28" t="s">
        <v>544</v>
      </c>
    </row>
    <row r="195" customFormat="false" ht="15.75" hidden="false" customHeight="true" outlineLevel="0" collapsed="false">
      <c r="A195" s="24" t="s">
        <v>582</v>
      </c>
      <c r="B195" s="24" t="s">
        <v>583</v>
      </c>
      <c r="C195" s="24" t="s">
        <v>428</v>
      </c>
      <c r="D195" s="24" t="s">
        <v>543</v>
      </c>
      <c r="E195" s="24" t="s">
        <v>118</v>
      </c>
      <c r="F195" s="21" t="s">
        <v>119</v>
      </c>
      <c r="G195" s="24" t="s">
        <v>120</v>
      </c>
      <c r="H195" s="21" t="s">
        <v>121</v>
      </c>
      <c r="I195" s="21" t="s">
        <v>122</v>
      </c>
      <c r="J195" s="24" t="s">
        <v>123</v>
      </c>
      <c r="K195" s="25" t="n">
        <v>81</v>
      </c>
      <c r="L195" s="26" t="n">
        <v>62</v>
      </c>
      <c r="M195" s="26" t="n">
        <v>62</v>
      </c>
      <c r="N195" s="26" t="n">
        <v>5022</v>
      </c>
      <c r="O195" s="26" t="n">
        <v>5022</v>
      </c>
      <c r="P195" s="26" t="n">
        <v>0</v>
      </c>
      <c r="Q195" s="21"/>
      <c r="R195" s="27" t="s">
        <v>63</v>
      </c>
      <c r="S195" s="21"/>
      <c r="T195" s="24" t="s">
        <v>544</v>
      </c>
    </row>
    <row r="196" customFormat="false" ht="15.75" hidden="false" customHeight="true" outlineLevel="0" collapsed="false">
      <c r="A196" s="28" t="s">
        <v>584</v>
      </c>
      <c r="B196" s="28" t="s">
        <v>585</v>
      </c>
      <c r="C196" s="28" t="s">
        <v>428</v>
      </c>
      <c r="D196" s="28" t="s">
        <v>494</v>
      </c>
      <c r="E196" s="28" t="s">
        <v>95</v>
      </c>
      <c r="F196" s="29" t="s">
        <v>96</v>
      </c>
      <c r="G196" s="28" t="s">
        <v>97</v>
      </c>
      <c r="H196" s="29" t="s">
        <v>145</v>
      </c>
      <c r="I196" s="29" t="s">
        <v>146</v>
      </c>
      <c r="J196" s="28" t="s">
        <v>83</v>
      </c>
      <c r="K196" s="30" t="n">
        <v>103</v>
      </c>
      <c r="L196" s="31" t="n">
        <v>320</v>
      </c>
      <c r="M196" s="31" t="n">
        <v>320</v>
      </c>
      <c r="N196" s="31" t="n">
        <v>32960</v>
      </c>
      <c r="O196" s="31" t="n">
        <v>32960</v>
      </c>
      <c r="P196" s="31" t="n">
        <v>0</v>
      </c>
      <c r="Q196" s="29"/>
      <c r="R196" s="32" t="s">
        <v>63</v>
      </c>
      <c r="S196" s="29"/>
      <c r="T196" s="28" t="s">
        <v>544</v>
      </c>
    </row>
    <row r="197" customFormat="false" ht="15.75" hidden="false" customHeight="true" outlineLevel="0" collapsed="false">
      <c r="A197" s="24" t="s">
        <v>586</v>
      </c>
      <c r="B197" s="24" t="s">
        <v>587</v>
      </c>
      <c r="C197" s="24" t="s">
        <v>364</v>
      </c>
      <c r="D197" s="24" t="s">
        <v>558</v>
      </c>
      <c r="E197" s="24" t="s">
        <v>87</v>
      </c>
      <c r="F197" s="21" t="s">
        <v>88</v>
      </c>
      <c r="G197" s="24" t="s">
        <v>89</v>
      </c>
      <c r="H197" s="21" t="s">
        <v>161</v>
      </c>
      <c r="I197" s="21" t="s">
        <v>162</v>
      </c>
      <c r="J197" s="24" t="s">
        <v>83</v>
      </c>
      <c r="K197" s="25" t="n">
        <v>152</v>
      </c>
      <c r="L197" s="26" t="n">
        <v>45</v>
      </c>
      <c r="M197" s="26" t="n">
        <v>45</v>
      </c>
      <c r="N197" s="26" t="n">
        <v>6840</v>
      </c>
      <c r="O197" s="26" t="n">
        <v>6840</v>
      </c>
      <c r="P197" s="26" t="n">
        <v>0</v>
      </c>
      <c r="Q197" s="21"/>
      <c r="R197" s="27" t="s">
        <v>63</v>
      </c>
      <c r="S197" s="21"/>
      <c r="T197" s="24" t="s">
        <v>544</v>
      </c>
    </row>
    <row r="198" customFormat="false" ht="15.75" hidden="false" customHeight="true" outlineLevel="0" collapsed="false">
      <c r="A198" s="28" t="s">
        <v>588</v>
      </c>
      <c r="B198" s="28" t="s">
        <v>589</v>
      </c>
      <c r="C198" s="28" t="s">
        <v>452</v>
      </c>
      <c r="D198" s="28" t="s">
        <v>575</v>
      </c>
      <c r="E198" s="28" t="s">
        <v>109</v>
      </c>
      <c r="F198" s="29" t="s">
        <v>110</v>
      </c>
      <c r="G198" s="28" t="s">
        <v>111</v>
      </c>
      <c r="H198" s="29" t="s">
        <v>90</v>
      </c>
      <c r="I198" s="29" t="s">
        <v>91</v>
      </c>
      <c r="J198" s="28" t="s">
        <v>70</v>
      </c>
      <c r="K198" s="30" t="n">
        <v>7</v>
      </c>
      <c r="L198" s="31" t="n">
        <v>8.75</v>
      </c>
      <c r="M198" s="31" t="n">
        <v>8.75</v>
      </c>
      <c r="N198" s="31" t="n">
        <v>61.25</v>
      </c>
      <c r="O198" s="31" t="n">
        <v>61.25</v>
      </c>
      <c r="P198" s="31" t="n">
        <v>0</v>
      </c>
      <c r="Q198" s="29"/>
      <c r="R198" s="32" t="s">
        <v>63</v>
      </c>
      <c r="S198" s="29"/>
      <c r="T198" s="28" t="s">
        <v>544</v>
      </c>
    </row>
    <row r="199" customFormat="false" ht="15.75" hidden="false" customHeight="true" outlineLevel="0" collapsed="false">
      <c r="A199" s="24" t="s">
        <v>590</v>
      </c>
      <c r="B199" s="24" t="s">
        <v>591</v>
      </c>
      <c r="C199" s="24" t="s">
        <v>428</v>
      </c>
      <c r="D199" s="24" t="s">
        <v>568</v>
      </c>
      <c r="E199" s="24" t="s">
        <v>75</v>
      </c>
      <c r="F199" s="21" t="s">
        <v>76</v>
      </c>
      <c r="G199" s="24" t="s">
        <v>77</v>
      </c>
      <c r="H199" s="21" t="s">
        <v>121</v>
      </c>
      <c r="I199" s="21" t="s">
        <v>122</v>
      </c>
      <c r="J199" s="24" t="s">
        <v>123</v>
      </c>
      <c r="K199" s="25" t="n">
        <v>195</v>
      </c>
      <c r="L199" s="26" t="n">
        <v>62</v>
      </c>
      <c r="M199" s="26" t="n">
        <v>62</v>
      </c>
      <c r="N199" s="26" t="n">
        <v>12090</v>
      </c>
      <c r="O199" s="26" t="n">
        <v>12090</v>
      </c>
      <c r="P199" s="26" t="n">
        <v>0</v>
      </c>
      <c r="Q199" s="21"/>
      <c r="R199" s="27" t="s">
        <v>63</v>
      </c>
      <c r="S199" s="21"/>
      <c r="T199" s="24" t="s">
        <v>544</v>
      </c>
    </row>
    <row r="200" customFormat="false" ht="15.75" hidden="false" customHeight="true" outlineLevel="0" collapsed="false">
      <c r="A200" s="28" t="s">
        <v>592</v>
      </c>
      <c r="B200" s="28" t="s">
        <v>593</v>
      </c>
      <c r="C200" s="28" t="s">
        <v>364</v>
      </c>
      <c r="D200" s="28" t="s">
        <v>563</v>
      </c>
      <c r="E200" s="28" t="s">
        <v>95</v>
      </c>
      <c r="F200" s="29" t="s">
        <v>96</v>
      </c>
      <c r="G200" s="28" t="s">
        <v>97</v>
      </c>
      <c r="H200" s="29" t="s">
        <v>145</v>
      </c>
      <c r="I200" s="29" t="s">
        <v>146</v>
      </c>
      <c r="J200" s="28" t="s">
        <v>83</v>
      </c>
      <c r="K200" s="30" t="n">
        <v>160</v>
      </c>
      <c r="L200" s="31" t="n">
        <v>320</v>
      </c>
      <c r="M200" s="31" t="n">
        <v>320</v>
      </c>
      <c r="N200" s="31" t="n">
        <v>51200</v>
      </c>
      <c r="O200" s="31" t="n">
        <v>51200</v>
      </c>
      <c r="P200" s="31" t="n">
        <v>0</v>
      </c>
      <c r="Q200" s="29"/>
      <c r="R200" s="32" t="s">
        <v>63</v>
      </c>
      <c r="S200" s="29"/>
      <c r="T200" s="28" t="s">
        <v>544</v>
      </c>
    </row>
    <row r="201" customFormat="false" ht="15.75" hidden="false" customHeight="true" outlineLevel="0" collapsed="false">
      <c r="A201" s="24" t="s">
        <v>594</v>
      </c>
      <c r="B201" s="24" t="s">
        <v>595</v>
      </c>
      <c r="C201" s="24" t="s">
        <v>393</v>
      </c>
      <c r="D201" s="24" t="s">
        <v>484</v>
      </c>
      <c r="E201" s="24" t="s">
        <v>87</v>
      </c>
      <c r="F201" s="21" t="s">
        <v>88</v>
      </c>
      <c r="G201" s="24" t="s">
        <v>89</v>
      </c>
      <c r="H201" s="21" t="s">
        <v>90</v>
      </c>
      <c r="I201" s="21" t="s">
        <v>91</v>
      </c>
      <c r="J201" s="24" t="s">
        <v>70</v>
      </c>
      <c r="K201" s="25" t="n">
        <v>178</v>
      </c>
      <c r="L201" s="26" t="n">
        <v>8.75</v>
      </c>
      <c r="M201" s="26" t="n">
        <v>8.75</v>
      </c>
      <c r="N201" s="26" t="n">
        <v>1557.5</v>
      </c>
      <c r="O201" s="26" t="n">
        <v>1557.5</v>
      </c>
      <c r="P201" s="26" t="n">
        <v>0</v>
      </c>
      <c r="Q201" s="21"/>
      <c r="R201" s="27" t="s">
        <v>63</v>
      </c>
      <c r="S201" s="21"/>
      <c r="T201" s="24" t="s">
        <v>544</v>
      </c>
    </row>
    <row r="202" customFormat="false" ht="15.75" hidden="false" customHeight="true" outlineLevel="0" collapsed="false">
      <c r="A202" s="28" t="s">
        <v>596</v>
      </c>
      <c r="B202" s="28" t="s">
        <v>597</v>
      </c>
      <c r="C202" s="28" t="s">
        <v>374</v>
      </c>
      <c r="D202" s="28" t="s">
        <v>522</v>
      </c>
      <c r="E202" s="28" t="s">
        <v>75</v>
      </c>
      <c r="F202" s="29" t="s">
        <v>76</v>
      </c>
      <c r="G202" s="28" t="s">
        <v>77</v>
      </c>
      <c r="H202" s="29" t="s">
        <v>90</v>
      </c>
      <c r="I202" s="29" t="s">
        <v>91</v>
      </c>
      <c r="J202" s="28" t="s">
        <v>70</v>
      </c>
      <c r="K202" s="30" t="n">
        <v>117</v>
      </c>
      <c r="L202" s="31" t="n">
        <v>8.75</v>
      </c>
      <c r="M202" s="31" t="n">
        <v>8.75</v>
      </c>
      <c r="N202" s="31" t="n">
        <v>1023.75</v>
      </c>
      <c r="O202" s="31" t="n">
        <v>1023.75</v>
      </c>
      <c r="P202" s="31" t="n">
        <v>0</v>
      </c>
      <c r="Q202" s="29"/>
      <c r="R202" s="32" t="s">
        <v>63</v>
      </c>
      <c r="S202" s="29"/>
      <c r="T202" s="28" t="s">
        <v>544</v>
      </c>
    </row>
    <row r="203" customFormat="false" ht="21.75" hidden="false" customHeight="true" outlineLevel="0" collapsed="false">
      <c r="A203" s="43" t="s">
        <v>598</v>
      </c>
      <c r="B203" s="44"/>
      <c r="C203" s="44"/>
      <c r="D203" s="44"/>
      <c r="E203" s="44"/>
      <c r="F203" s="44"/>
      <c r="G203" s="44"/>
      <c r="H203" s="44"/>
      <c r="I203" s="44"/>
      <c r="J203" s="44"/>
      <c r="K203" s="45" t="n">
        <f aca="false">SUM(K3:K202)</f>
        <v>20561</v>
      </c>
      <c r="L203" s="46" t="n">
        <f aca="false">SUM(L3:L202)</f>
        <v>28024.97</v>
      </c>
      <c r="M203" s="46" t="n">
        <f aca="false">SUM(M3:M202)</f>
        <v>27982</v>
      </c>
      <c r="N203" s="46" t="n">
        <f aca="false">SUM(N3:N202)</f>
        <v>3000885.61</v>
      </c>
      <c r="O203" s="46" t="n">
        <f aca="false">SUM(O3:O202)</f>
        <v>3003400.75</v>
      </c>
      <c r="P203" s="46" t="n">
        <f aca="false">SUM(P3:P202)</f>
        <v>-2515.14</v>
      </c>
      <c r="Q203" s="44"/>
      <c r="R203" s="44"/>
      <c r="S203" s="44"/>
      <c r="T203" s="44"/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0006"/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4" min="3" style="0" width="22"/>
    <col collapsed="false" customWidth="true" hidden="false" outlineLevel="0" max="6" min="5" style="0" width="15"/>
    <col collapsed="false" customWidth="true" hidden="false" outlineLevel="0" max="8" min="7" style="0" width="12"/>
    <col collapsed="false" customWidth="true" hidden="false" outlineLevel="0" max="9" min="9" style="0" width="30"/>
    <col collapsed="false" customWidth="true" hidden="false" outlineLevel="0" max="10" min="10" style="0" width="28"/>
    <col collapsed="false" customWidth="true" hidden="false" outlineLevel="0" max="11" min="11" style="0" width="32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22" t="s">
        <v>599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customFormat="false" ht="27.75" hidden="false" customHeight="true" outlineLevel="0" collapsed="false">
      <c r="A2" s="47" t="s">
        <v>600</v>
      </c>
      <c r="B2" s="47" t="s">
        <v>601</v>
      </c>
      <c r="C2" s="47" t="s">
        <v>602</v>
      </c>
      <c r="D2" s="47" t="s">
        <v>603</v>
      </c>
      <c r="E2" s="47" t="s">
        <v>44</v>
      </c>
      <c r="F2" s="47" t="s">
        <v>45</v>
      </c>
      <c r="G2" s="47" t="s">
        <v>48</v>
      </c>
      <c r="H2" s="47" t="s">
        <v>604</v>
      </c>
      <c r="I2" s="47" t="s">
        <v>49</v>
      </c>
      <c r="J2" s="47" t="s">
        <v>605</v>
      </c>
      <c r="K2" s="47" t="s">
        <v>606</v>
      </c>
      <c r="L2" s="47" t="s">
        <v>50</v>
      </c>
    </row>
    <row r="3" customFormat="false" ht="18" hidden="false" customHeight="true" outlineLevel="0" collapsed="false">
      <c r="A3" s="48" t="n">
        <v>1</v>
      </c>
      <c r="B3" s="49" t="s">
        <v>92</v>
      </c>
      <c r="C3" s="49" t="s">
        <v>96</v>
      </c>
      <c r="D3" s="49" t="s">
        <v>99</v>
      </c>
      <c r="E3" s="50" t="n">
        <v>206.31</v>
      </c>
      <c r="F3" s="50" t="n">
        <v>189</v>
      </c>
      <c r="G3" s="50" t="n">
        <v>1038.6</v>
      </c>
      <c r="H3" s="51" t="n">
        <v>0.0915873015873016</v>
      </c>
      <c r="I3" s="49" t="s">
        <v>100</v>
      </c>
      <c r="J3" s="49" t="s">
        <v>607</v>
      </c>
      <c r="K3" s="49" t="s">
        <v>608</v>
      </c>
      <c r="L3" s="52" t="s">
        <v>101</v>
      </c>
    </row>
    <row r="4" customFormat="false" ht="18" hidden="false" customHeight="true" outlineLevel="0" collapsed="false">
      <c r="A4" s="53" t="n">
        <v>2</v>
      </c>
      <c r="B4" s="54" t="s">
        <v>181</v>
      </c>
      <c r="C4" s="54" t="s">
        <v>143</v>
      </c>
      <c r="D4" s="54" t="s">
        <v>61</v>
      </c>
      <c r="E4" s="55" t="n">
        <v>14.89</v>
      </c>
      <c r="F4" s="55" t="n">
        <v>12.5</v>
      </c>
      <c r="G4" s="55" t="n">
        <v>377.62</v>
      </c>
      <c r="H4" s="56" t="n">
        <v>0.1912</v>
      </c>
      <c r="I4" s="54" t="s">
        <v>183</v>
      </c>
      <c r="J4" s="54" t="s">
        <v>609</v>
      </c>
      <c r="K4" s="54" t="s">
        <v>610</v>
      </c>
      <c r="L4" s="57" t="s">
        <v>101</v>
      </c>
    </row>
    <row r="5" customFormat="false" ht="18" hidden="false" customHeight="true" outlineLevel="0" collapsed="false">
      <c r="A5" s="48" t="n">
        <v>3</v>
      </c>
      <c r="B5" s="49" t="s">
        <v>200</v>
      </c>
      <c r="C5" s="49" t="s">
        <v>153</v>
      </c>
      <c r="D5" s="49" t="s">
        <v>61</v>
      </c>
      <c r="E5" s="50" t="n">
        <v>13.55</v>
      </c>
      <c r="F5" s="50" t="n">
        <v>12.5</v>
      </c>
      <c r="G5" s="50" t="n">
        <v>24.15</v>
      </c>
      <c r="H5" s="51" t="n">
        <v>0.0840000000000001</v>
      </c>
      <c r="I5" s="49" t="s">
        <v>202</v>
      </c>
      <c r="J5" s="49" t="s">
        <v>611</v>
      </c>
      <c r="K5" s="49" t="s">
        <v>612</v>
      </c>
      <c r="L5" s="52" t="s">
        <v>101</v>
      </c>
    </row>
    <row r="6" customFormat="false" ht="18" hidden="false" customHeight="true" outlineLevel="0" collapsed="false">
      <c r="A6" s="53" t="n">
        <v>4</v>
      </c>
      <c r="B6" s="54" t="s">
        <v>240</v>
      </c>
      <c r="C6" s="54" t="s">
        <v>58</v>
      </c>
      <c r="D6" s="54" t="s">
        <v>122</v>
      </c>
      <c r="E6" s="55" t="n">
        <v>50.42</v>
      </c>
      <c r="F6" s="55" t="n">
        <v>62</v>
      </c>
      <c r="G6" s="55" t="n">
        <v>-254.76</v>
      </c>
      <c r="H6" s="56" t="n">
        <v>-0.186774193548387</v>
      </c>
      <c r="I6" s="54" t="s">
        <v>100</v>
      </c>
      <c r="J6" s="54" t="s">
        <v>607</v>
      </c>
      <c r="K6" s="54" t="s">
        <v>608</v>
      </c>
      <c r="L6" s="57" t="s">
        <v>101</v>
      </c>
    </row>
    <row r="7" customFormat="false" ht="18" hidden="false" customHeight="true" outlineLevel="0" collapsed="false">
      <c r="A7" s="48" t="n">
        <v>5</v>
      </c>
      <c r="B7" s="49" t="s">
        <v>263</v>
      </c>
      <c r="C7" s="49" t="s">
        <v>58</v>
      </c>
      <c r="D7" s="49" t="s">
        <v>99</v>
      </c>
      <c r="E7" s="50" t="n">
        <v>216.67</v>
      </c>
      <c r="F7" s="50" t="n">
        <v>189</v>
      </c>
      <c r="G7" s="50" t="n">
        <v>1992.24</v>
      </c>
      <c r="H7" s="51" t="n">
        <v>0.146402116402116</v>
      </c>
      <c r="I7" s="49" t="s">
        <v>266</v>
      </c>
      <c r="J7" s="49" t="s">
        <v>613</v>
      </c>
      <c r="K7" s="49" t="s">
        <v>614</v>
      </c>
      <c r="L7" s="52" t="s">
        <v>101</v>
      </c>
    </row>
    <row r="8" customFormat="false" ht="18" hidden="false" customHeight="true" outlineLevel="0" collapsed="false">
      <c r="A8" s="53" t="n">
        <v>6</v>
      </c>
      <c r="B8" s="54" t="s">
        <v>276</v>
      </c>
      <c r="C8" s="54" t="s">
        <v>143</v>
      </c>
      <c r="D8" s="54" t="s">
        <v>279</v>
      </c>
      <c r="E8" s="55" t="n">
        <v>76.63</v>
      </c>
      <c r="F8" s="55" t="n">
        <v>95</v>
      </c>
      <c r="G8" s="55" t="n">
        <v>-2094.18</v>
      </c>
      <c r="H8" s="56" t="n">
        <v>-0.193368421052632</v>
      </c>
      <c r="I8" s="54" t="s">
        <v>100</v>
      </c>
      <c r="J8" s="54" t="s">
        <v>607</v>
      </c>
      <c r="K8" s="54" t="s">
        <v>608</v>
      </c>
      <c r="L8" s="57" t="s">
        <v>101</v>
      </c>
    </row>
    <row r="9" customFormat="false" ht="18" hidden="false" customHeight="true" outlineLevel="0" collapsed="false">
      <c r="A9" s="48" t="n">
        <v>7</v>
      </c>
      <c r="B9" s="49" t="s">
        <v>295</v>
      </c>
      <c r="C9" s="49" t="s">
        <v>224</v>
      </c>
      <c r="D9" s="49" t="s">
        <v>162</v>
      </c>
      <c r="E9" s="50" t="n">
        <v>49.64</v>
      </c>
      <c r="F9" s="50" t="n">
        <v>45</v>
      </c>
      <c r="G9" s="50" t="n">
        <v>385.12</v>
      </c>
      <c r="H9" s="51" t="n">
        <v>0.103111111111111</v>
      </c>
      <c r="I9" s="49" t="s">
        <v>266</v>
      </c>
      <c r="J9" s="49" t="s">
        <v>613</v>
      </c>
      <c r="K9" s="49" t="s">
        <v>614</v>
      </c>
      <c r="L9" s="52" t="s">
        <v>101</v>
      </c>
    </row>
    <row r="10" customFormat="false" ht="18" hidden="false" customHeight="true" outlineLevel="0" collapsed="false">
      <c r="A10" s="53" t="n">
        <v>8</v>
      </c>
      <c r="B10" s="54" t="s">
        <v>307</v>
      </c>
      <c r="C10" s="54" t="s">
        <v>58</v>
      </c>
      <c r="D10" s="54" t="s">
        <v>214</v>
      </c>
      <c r="E10" s="55" t="n">
        <v>485.9</v>
      </c>
      <c r="F10" s="55" t="n">
        <v>560</v>
      </c>
      <c r="G10" s="55" t="n">
        <v>-11263.2</v>
      </c>
      <c r="H10" s="56" t="n">
        <v>-0.132321428571429</v>
      </c>
      <c r="I10" s="54" t="s">
        <v>266</v>
      </c>
      <c r="J10" s="54" t="s">
        <v>613</v>
      </c>
      <c r="K10" s="54" t="s">
        <v>614</v>
      </c>
      <c r="L10" s="57" t="s">
        <v>101</v>
      </c>
    </row>
    <row r="11" customFormat="false" ht="18" hidden="false" customHeight="true" outlineLevel="0" collapsed="false">
      <c r="A11" s="48" t="n">
        <v>9</v>
      </c>
      <c r="B11" s="49" t="s">
        <v>325</v>
      </c>
      <c r="C11" s="49" t="s">
        <v>153</v>
      </c>
      <c r="D11" s="49" t="s">
        <v>82</v>
      </c>
      <c r="E11" s="50" t="n">
        <v>43.39</v>
      </c>
      <c r="F11" s="50" t="n">
        <v>38</v>
      </c>
      <c r="G11" s="50" t="n">
        <v>679.14</v>
      </c>
      <c r="H11" s="51" t="n">
        <v>0.141842105263158</v>
      </c>
      <c r="I11" s="49" t="s">
        <v>202</v>
      </c>
      <c r="J11" s="49" t="s">
        <v>611</v>
      </c>
      <c r="K11" s="49" t="s">
        <v>612</v>
      </c>
      <c r="L11" s="52" t="s">
        <v>101</v>
      </c>
    </row>
    <row r="12" customFormat="false" ht="18" hidden="false" customHeight="true" outlineLevel="0" collapsed="false">
      <c r="A12" s="53" t="n">
        <v>10</v>
      </c>
      <c r="B12" s="54" t="s">
        <v>383</v>
      </c>
      <c r="C12" s="54" t="s">
        <v>96</v>
      </c>
      <c r="D12" s="54" t="s">
        <v>214</v>
      </c>
      <c r="E12" s="55" t="n">
        <v>641.05</v>
      </c>
      <c r="F12" s="55" t="n">
        <v>560</v>
      </c>
      <c r="G12" s="55" t="n">
        <v>5592.45</v>
      </c>
      <c r="H12" s="56" t="n">
        <v>0.144732142857143</v>
      </c>
      <c r="I12" s="54" t="s">
        <v>183</v>
      </c>
      <c r="J12" s="54" t="s">
        <v>609</v>
      </c>
      <c r="K12" s="54" t="s">
        <v>610</v>
      </c>
      <c r="L12" s="57" t="s">
        <v>101</v>
      </c>
    </row>
    <row r="13" customFormat="false" ht="18" hidden="false" customHeight="true" outlineLevel="0" collapsed="false">
      <c r="A13" s="48" t="n">
        <v>11</v>
      </c>
      <c r="B13" s="49" t="s">
        <v>533</v>
      </c>
      <c r="C13" s="49" t="s">
        <v>110</v>
      </c>
      <c r="D13" s="49" t="s">
        <v>162</v>
      </c>
      <c r="E13" s="50" t="n">
        <v>52.52</v>
      </c>
      <c r="F13" s="50" t="n">
        <v>45</v>
      </c>
      <c r="G13" s="50" t="n">
        <v>1007.68</v>
      </c>
      <c r="H13" s="51" t="n">
        <v>0.167111111111111</v>
      </c>
      <c r="I13" s="49" t="s">
        <v>183</v>
      </c>
      <c r="J13" s="49" t="s">
        <v>609</v>
      </c>
      <c r="K13" s="49" t="s">
        <v>610</v>
      </c>
      <c r="L13" s="58" t="s">
        <v>535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145"/>
    <pageSetUpPr fitToPage="false"/>
  </sheetPr>
  <dimension ref="A1: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59" t="s">
        <v>615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3" customFormat="false" ht="24" hidden="false" customHeight="true" outlineLevel="0" collapsed="false">
      <c r="A3" s="23" t="s">
        <v>52</v>
      </c>
      <c r="B3" s="23" t="s">
        <v>616</v>
      </c>
      <c r="C3" s="23" t="s">
        <v>617</v>
      </c>
      <c r="D3" s="23" t="s">
        <v>535</v>
      </c>
      <c r="E3" s="23" t="s">
        <v>618</v>
      </c>
      <c r="F3" s="23" t="s">
        <v>619</v>
      </c>
    </row>
    <row r="4" customFormat="false" ht="19.5" hidden="false" customHeight="true" outlineLevel="0" collapsed="false">
      <c r="A4" s="28" t="s">
        <v>64</v>
      </c>
      <c r="B4" s="28" t="n">
        <v>25</v>
      </c>
      <c r="C4" s="28" t="n">
        <v>1</v>
      </c>
      <c r="D4" s="28" t="n">
        <v>0</v>
      </c>
      <c r="E4" s="28" t="n">
        <v>24</v>
      </c>
      <c r="F4" s="60" t="n">
        <v>0.04</v>
      </c>
    </row>
    <row r="5" customFormat="false" ht="19.5" hidden="false" customHeight="true" outlineLevel="0" collapsed="false">
      <c r="A5" s="24" t="s">
        <v>180</v>
      </c>
      <c r="B5" s="24" t="n">
        <v>25</v>
      </c>
      <c r="C5" s="24" t="n">
        <v>3</v>
      </c>
      <c r="D5" s="24" t="n">
        <v>0</v>
      </c>
      <c r="E5" s="24" t="n">
        <v>22</v>
      </c>
      <c r="F5" s="61" t="n">
        <v>0.12</v>
      </c>
    </row>
    <row r="6" customFormat="false" ht="19.5" hidden="false" customHeight="true" outlineLevel="0" collapsed="false">
      <c r="A6" s="28" t="s">
        <v>246</v>
      </c>
      <c r="B6" s="28" t="n">
        <v>25</v>
      </c>
      <c r="C6" s="28" t="n">
        <v>3</v>
      </c>
      <c r="D6" s="28" t="n">
        <v>0</v>
      </c>
      <c r="E6" s="28" t="n">
        <v>22</v>
      </c>
      <c r="F6" s="62" t="n">
        <v>0.12</v>
      </c>
    </row>
    <row r="7" customFormat="false" ht="19.5" hidden="false" customHeight="true" outlineLevel="0" collapsed="false">
      <c r="A7" s="24" t="s">
        <v>306</v>
      </c>
      <c r="B7" s="24" t="n">
        <v>25</v>
      </c>
      <c r="C7" s="24" t="n">
        <v>2</v>
      </c>
      <c r="D7" s="24" t="n">
        <v>0</v>
      </c>
      <c r="E7" s="24" t="n">
        <v>23</v>
      </c>
      <c r="F7" s="63" t="n">
        <v>0.08</v>
      </c>
    </row>
    <row r="8" customFormat="false" ht="19.5" hidden="false" customHeight="true" outlineLevel="0" collapsed="false">
      <c r="A8" s="28" t="s">
        <v>365</v>
      </c>
      <c r="B8" s="28" t="n">
        <v>25</v>
      </c>
      <c r="C8" s="28" t="n">
        <v>1</v>
      </c>
      <c r="D8" s="28" t="n">
        <v>0</v>
      </c>
      <c r="E8" s="28" t="n">
        <v>24</v>
      </c>
      <c r="F8" s="60" t="n">
        <v>0.04</v>
      </c>
    </row>
    <row r="9" customFormat="false" ht="19.5" hidden="false" customHeight="true" outlineLevel="0" collapsed="false">
      <c r="A9" s="24" t="s">
        <v>422</v>
      </c>
      <c r="B9" s="24" t="n">
        <v>25</v>
      </c>
      <c r="C9" s="24" t="n">
        <v>0</v>
      </c>
      <c r="D9" s="24" t="n">
        <v>0</v>
      </c>
      <c r="E9" s="24" t="n">
        <v>25</v>
      </c>
      <c r="F9" s="64" t="n">
        <v>0</v>
      </c>
    </row>
    <row r="10" customFormat="false" ht="19.5" hidden="false" customHeight="true" outlineLevel="0" collapsed="false">
      <c r="A10" s="28" t="s">
        <v>479</v>
      </c>
      <c r="B10" s="28" t="n">
        <v>25</v>
      </c>
      <c r="C10" s="28" t="n">
        <v>1</v>
      </c>
      <c r="D10" s="28" t="n">
        <v>1</v>
      </c>
      <c r="E10" s="28" t="n">
        <v>24</v>
      </c>
      <c r="F10" s="60" t="n">
        <v>0.04</v>
      </c>
    </row>
    <row r="11" customFormat="false" ht="19.5" hidden="false" customHeight="true" outlineLevel="0" collapsed="false">
      <c r="A11" s="24" t="s">
        <v>544</v>
      </c>
      <c r="B11" s="24" t="n">
        <v>25</v>
      </c>
      <c r="C11" s="24" t="n">
        <v>0</v>
      </c>
      <c r="D11" s="24" t="n">
        <v>0</v>
      </c>
      <c r="E11" s="24" t="n">
        <v>25</v>
      </c>
      <c r="F11" s="64" t="n">
        <v>0</v>
      </c>
    </row>
    <row r="12" customFormat="false" ht="21.75" hidden="false" customHeight="true" outlineLevel="0" collapsed="false">
      <c r="A12" s="65" t="s">
        <v>620</v>
      </c>
      <c r="B12" s="65" t="n">
        <f aca="false">SUM(B4:B11)</f>
        <v>200</v>
      </c>
      <c r="C12" s="65" t="n">
        <f aca="false">SUM(C4:C11)</f>
        <v>11</v>
      </c>
      <c r="D12" s="65" t="n">
        <f aca="false">SUM(D4:D11)</f>
        <v>1</v>
      </c>
      <c r="E12" s="65" t="n">
        <f aca="false">SUM(E4:E11)</f>
        <v>189</v>
      </c>
      <c r="F12" s="66" t="n">
        <f aca="false">AVERAGE(F4:F11)</f>
        <v>0.055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5700"/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4"/>
  </cols>
  <sheetData>
    <row r="1" customFormat="false" ht="31.5" hidden="false" customHeight="true" outlineLevel="0" collapsed="false">
      <c r="A1" s="59" t="s">
        <v>621</v>
      </c>
      <c r="B1" s="59"/>
      <c r="C1" s="59"/>
      <c r="D1" s="59"/>
      <c r="E1" s="59"/>
      <c r="F1" s="59"/>
    </row>
    <row r="2" customFormat="false" ht="19.5" hidden="false" customHeight="true" outlineLevel="0" collapsed="false">
      <c r="B2" s="67" t="s">
        <v>622</v>
      </c>
      <c r="C2" s="67"/>
      <c r="D2" s="67"/>
      <c r="E2" s="67"/>
    </row>
    <row r="4" customFormat="false" ht="21.75" hidden="false" customHeight="true" outlineLevel="0" collapsed="false">
      <c r="B4" s="68" t="s">
        <v>623</v>
      </c>
      <c r="C4" s="68"/>
      <c r="D4" s="68"/>
      <c r="E4" s="68"/>
    </row>
    <row r="5" customFormat="false" ht="18" hidden="false" customHeight="true" outlineLevel="0" collapsed="false">
      <c r="B5" s="69" t="s">
        <v>624</v>
      </c>
      <c r="C5" s="69" t="s">
        <v>625</v>
      </c>
      <c r="D5" s="69" t="s">
        <v>626</v>
      </c>
      <c r="E5" s="69" t="s">
        <v>50</v>
      </c>
    </row>
    <row r="6" customFormat="false" ht="18" hidden="false" customHeight="true" outlineLevel="0" collapsed="false">
      <c r="B6" s="70" t="s">
        <v>627</v>
      </c>
      <c r="C6" s="19" t="s">
        <v>628</v>
      </c>
      <c r="D6" s="19" t="s">
        <v>629</v>
      </c>
      <c r="E6" s="70" t="s">
        <v>630</v>
      </c>
    </row>
    <row r="7" customFormat="false" ht="18" hidden="false" customHeight="true" outlineLevel="0" collapsed="false">
      <c r="B7" s="24" t="s">
        <v>631</v>
      </c>
      <c r="C7" s="21" t="s">
        <v>632</v>
      </c>
      <c r="D7" s="21" t="s">
        <v>633</v>
      </c>
      <c r="E7" s="24" t="s">
        <v>630</v>
      </c>
    </row>
    <row r="8" customFormat="false" ht="18" hidden="false" customHeight="true" outlineLevel="0" collapsed="false">
      <c r="B8" s="70" t="s">
        <v>634</v>
      </c>
      <c r="C8" s="19" t="s">
        <v>635</v>
      </c>
      <c r="D8" s="19" t="s">
        <v>636</v>
      </c>
      <c r="E8" s="70" t="s">
        <v>630</v>
      </c>
    </row>
    <row r="9" customFormat="false" ht="18" hidden="false" customHeight="true" outlineLevel="0" collapsed="false">
      <c r="B9" s="24" t="s">
        <v>637</v>
      </c>
      <c r="C9" s="21" t="s">
        <v>638</v>
      </c>
      <c r="D9" s="21" t="s">
        <v>639</v>
      </c>
      <c r="E9" s="24" t="s">
        <v>630</v>
      </c>
    </row>
    <row r="10" customFormat="false" ht="18" hidden="false" customHeight="true" outlineLevel="0" collapsed="false">
      <c r="B10" s="70" t="s">
        <v>640</v>
      </c>
      <c r="C10" s="19" t="s">
        <v>641</v>
      </c>
      <c r="D10" s="19" t="s">
        <v>642</v>
      </c>
      <c r="E10" s="70" t="s">
        <v>630</v>
      </c>
    </row>
    <row r="11" customFormat="false" ht="18" hidden="false" customHeight="true" outlineLevel="0" collapsed="false">
      <c r="B11" s="24" t="s">
        <v>643</v>
      </c>
      <c r="C11" s="21" t="s">
        <v>644</v>
      </c>
      <c r="D11" s="21" t="s">
        <v>645</v>
      </c>
      <c r="E11" s="24" t="s">
        <v>630</v>
      </c>
    </row>
    <row r="12" customFormat="false" ht="18" hidden="false" customHeight="true" outlineLevel="0" collapsed="false">
      <c r="B12" s="70" t="s">
        <v>646</v>
      </c>
      <c r="C12" s="19" t="s">
        <v>647</v>
      </c>
      <c r="D12" s="19" t="s">
        <v>645</v>
      </c>
      <c r="E12" s="70" t="s">
        <v>630</v>
      </c>
    </row>
    <row r="14" customFormat="false" ht="21.75" hidden="false" customHeight="true" outlineLevel="0" collapsed="false">
      <c r="B14" s="71" t="s">
        <v>648</v>
      </c>
      <c r="C14" s="71"/>
      <c r="D14" s="71"/>
      <c r="E14" s="71"/>
    </row>
    <row r="15" customFormat="false" ht="18" hidden="false" customHeight="true" outlineLevel="0" collapsed="false">
      <c r="B15" s="69" t="s">
        <v>624</v>
      </c>
      <c r="C15" s="69" t="s">
        <v>625</v>
      </c>
      <c r="D15" s="69" t="s">
        <v>626</v>
      </c>
      <c r="E15" s="69" t="s">
        <v>50</v>
      </c>
    </row>
    <row r="16" customFormat="false" ht="18" hidden="false" customHeight="true" outlineLevel="0" collapsed="false">
      <c r="B16" s="70" t="s">
        <v>649</v>
      </c>
      <c r="C16" s="19" t="s">
        <v>650</v>
      </c>
      <c r="D16" s="19" t="s">
        <v>651</v>
      </c>
      <c r="E16" s="70" t="s">
        <v>630</v>
      </c>
    </row>
    <row r="17" customFormat="false" ht="18" hidden="false" customHeight="true" outlineLevel="0" collapsed="false">
      <c r="B17" s="24" t="s">
        <v>652</v>
      </c>
      <c r="C17" s="21" t="s">
        <v>653</v>
      </c>
      <c r="D17" s="21" t="s">
        <v>654</v>
      </c>
      <c r="E17" s="24" t="s">
        <v>630</v>
      </c>
    </row>
    <row r="18" customFormat="false" ht="18" hidden="false" customHeight="true" outlineLevel="0" collapsed="false">
      <c r="B18" s="70" t="s">
        <v>655</v>
      </c>
      <c r="C18" s="19" t="s">
        <v>656</v>
      </c>
      <c r="D18" s="19" t="s">
        <v>645</v>
      </c>
      <c r="E18" s="70" t="s">
        <v>630</v>
      </c>
    </row>
    <row r="19" customFormat="false" ht="18" hidden="false" customHeight="true" outlineLevel="0" collapsed="false">
      <c r="B19" s="24" t="s">
        <v>657</v>
      </c>
      <c r="C19" s="21" t="s">
        <v>658</v>
      </c>
      <c r="D19" s="21" t="s">
        <v>636</v>
      </c>
      <c r="E19" s="24" t="s">
        <v>630</v>
      </c>
    </row>
    <row r="20" customFormat="false" ht="18" hidden="false" customHeight="true" outlineLevel="0" collapsed="false">
      <c r="B20" s="70" t="s">
        <v>659</v>
      </c>
      <c r="C20" s="19" t="s">
        <v>660</v>
      </c>
      <c r="D20" s="19" t="s">
        <v>645</v>
      </c>
      <c r="E20" s="70" t="s">
        <v>630</v>
      </c>
    </row>
    <row r="21" customFormat="false" ht="18" hidden="false" customHeight="true" outlineLevel="0" collapsed="false">
      <c r="B21" s="24" t="s">
        <v>661</v>
      </c>
      <c r="C21" s="21" t="s">
        <v>662</v>
      </c>
      <c r="D21" s="21" t="s">
        <v>639</v>
      </c>
      <c r="E21" s="24" t="s">
        <v>630</v>
      </c>
    </row>
    <row r="22" customFormat="false" ht="18" hidden="false" customHeight="true" outlineLevel="0" collapsed="false">
      <c r="B22" s="70" t="s">
        <v>663</v>
      </c>
      <c r="C22" s="19" t="s">
        <v>664</v>
      </c>
      <c r="D22" s="19" t="s">
        <v>636</v>
      </c>
      <c r="E22" s="70" t="s">
        <v>630</v>
      </c>
    </row>
    <row r="23" customFormat="false" ht="18" hidden="false" customHeight="true" outlineLevel="0" collapsed="false">
      <c r="B23" s="24" t="s">
        <v>665</v>
      </c>
      <c r="C23" s="21" t="s">
        <v>666</v>
      </c>
      <c r="D23" s="21" t="s">
        <v>645</v>
      </c>
      <c r="E23" s="24" t="s">
        <v>630</v>
      </c>
    </row>
    <row r="24" customFormat="false" ht="18" hidden="false" customHeight="true" outlineLevel="0" collapsed="false">
      <c r="B24" s="70" t="s">
        <v>667</v>
      </c>
      <c r="C24" s="19" t="s">
        <v>668</v>
      </c>
      <c r="D24" s="19" t="s">
        <v>669</v>
      </c>
      <c r="E24" s="70" t="s">
        <v>630</v>
      </c>
    </row>
    <row r="26" customFormat="false" ht="21.75" hidden="false" customHeight="true" outlineLevel="0" collapsed="false">
      <c r="B26" s="72" t="s">
        <v>670</v>
      </c>
      <c r="C26" s="72"/>
      <c r="D26" s="72"/>
      <c r="E26" s="72"/>
    </row>
    <row r="27" customFormat="false" ht="18" hidden="false" customHeight="true" outlineLevel="0" collapsed="false">
      <c r="B27" s="69" t="s">
        <v>624</v>
      </c>
      <c r="C27" s="69" t="s">
        <v>625</v>
      </c>
      <c r="D27" s="69" t="s">
        <v>626</v>
      </c>
      <c r="E27" s="69" t="s">
        <v>50</v>
      </c>
    </row>
    <row r="28" customFormat="false" ht="18" hidden="false" customHeight="true" outlineLevel="0" collapsed="false">
      <c r="B28" s="70" t="s">
        <v>671</v>
      </c>
      <c r="C28" s="19" t="s">
        <v>672</v>
      </c>
      <c r="D28" s="19" t="s">
        <v>673</v>
      </c>
      <c r="E28" s="70" t="s">
        <v>630</v>
      </c>
    </row>
    <row r="29" customFormat="false" ht="18" hidden="false" customHeight="true" outlineLevel="0" collapsed="false">
      <c r="B29" s="24" t="s">
        <v>674</v>
      </c>
      <c r="C29" s="21" t="s">
        <v>675</v>
      </c>
      <c r="D29" s="21" t="s">
        <v>676</v>
      </c>
      <c r="E29" s="24" t="s">
        <v>630</v>
      </c>
    </row>
    <row r="30" customFormat="false" ht="18" hidden="false" customHeight="true" outlineLevel="0" collapsed="false">
      <c r="B30" s="70" t="s">
        <v>677</v>
      </c>
      <c r="C30" s="19" t="s">
        <v>678</v>
      </c>
      <c r="D30" s="19" t="s">
        <v>679</v>
      </c>
      <c r="E30" s="70" t="s">
        <v>630</v>
      </c>
    </row>
    <row r="31" customFormat="false" ht="18" hidden="false" customHeight="true" outlineLevel="0" collapsed="false">
      <c r="B31" s="24" t="s">
        <v>680</v>
      </c>
      <c r="C31" s="21" t="s">
        <v>681</v>
      </c>
      <c r="D31" s="21" t="s">
        <v>682</v>
      </c>
      <c r="E31" s="24" t="s">
        <v>630</v>
      </c>
    </row>
    <row r="32" customFormat="false" ht="18" hidden="false" customHeight="true" outlineLevel="0" collapsed="false">
      <c r="B32" s="70" t="s">
        <v>683</v>
      </c>
      <c r="C32" s="19" t="s">
        <v>684</v>
      </c>
      <c r="D32" s="19" t="s">
        <v>685</v>
      </c>
      <c r="E32" s="70" t="s">
        <v>630</v>
      </c>
    </row>
    <row r="33" customFormat="false" ht="18" hidden="false" customHeight="true" outlineLevel="0" collapsed="false">
      <c r="B33" s="24" t="s">
        <v>686</v>
      </c>
      <c r="C33" s="21" t="s">
        <v>687</v>
      </c>
      <c r="D33" s="21" t="s">
        <v>673</v>
      </c>
      <c r="E33" s="24" t="s">
        <v>630</v>
      </c>
    </row>
    <row r="34" customFormat="false" ht="18" hidden="false" customHeight="true" outlineLevel="0" collapsed="false">
      <c r="B34" s="70" t="s">
        <v>688</v>
      </c>
      <c r="C34" s="19" t="s">
        <v>689</v>
      </c>
      <c r="D34" s="19" t="s">
        <v>685</v>
      </c>
      <c r="E34" s="70" t="s">
        <v>630</v>
      </c>
    </row>
    <row r="36" customFormat="false" ht="21.75" hidden="false" customHeight="true" outlineLevel="0" collapsed="false">
      <c r="B36" s="73" t="s">
        <v>690</v>
      </c>
      <c r="C36" s="73"/>
      <c r="D36" s="73"/>
      <c r="E36" s="73"/>
    </row>
    <row r="37" customFormat="false" ht="18" hidden="false" customHeight="true" outlineLevel="0" collapsed="false">
      <c r="B37" s="69" t="s">
        <v>624</v>
      </c>
      <c r="C37" s="69" t="s">
        <v>625</v>
      </c>
      <c r="D37" s="69" t="s">
        <v>626</v>
      </c>
      <c r="E37" s="69" t="s">
        <v>50</v>
      </c>
    </row>
    <row r="38" customFormat="false" ht="18" hidden="false" customHeight="true" outlineLevel="0" collapsed="false">
      <c r="B38" s="70" t="s">
        <v>691</v>
      </c>
      <c r="C38" s="19" t="s">
        <v>692</v>
      </c>
      <c r="D38" s="19" t="s">
        <v>693</v>
      </c>
      <c r="E38" s="70" t="s">
        <v>630</v>
      </c>
    </row>
    <row r="39" customFormat="false" ht="18" hidden="false" customHeight="true" outlineLevel="0" collapsed="false">
      <c r="B39" s="24" t="s">
        <v>694</v>
      </c>
      <c r="C39" s="21" t="s">
        <v>695</v>
      </c>
      <c r="D39" s="21" t="s">
        <v>696</v>
      </c>
      <c r="E39" s="24" t="s">
        <v>630</v>
      </c>
    </row>
    <row r="40" customFormat="false" ht="18" hidden="false" customHeight="true" outlineLevel="0" collapsed="false">
      <c r="B40" s="70" t="s">
        <v>697</v>
      </c>
      <c r="C40" s="19" t="s">
        <v>698</v>
      </c>
      <c r="D40" s="19" t="s">
        <v>699</v>
      </c>
      <c r="E40" s="70" t="s">
        <v>630</v>
      </c>
    </row>
    <row r="41" customFormat="false" ht="18" hidden="false" customHeight="true" outlineLevel="0" collapsed="false">
      <c r="B41" s="24" t="s">
        <v>700</v>
      </c>
      <c r="C41" s="21" t="s">
        <v>701</v>
      </c>
      <c r="D41" s="21" t="s">
        <v>702</v>
      </c>
      <c r="E41" s="24" t="s">
        <v>630</v>
      </c>
    </row>
    <row r="42" customFormat="false" ht="18" hidden="false" customHeight="true" outlineLevel="0" collapsed="false">
      <c r="B42" s="70" t="s">
        <v>703</v>
      </c>
      <c r="C42" s="19" t="s">
        <v>704</v>
      </c>
      <c r="D42" s="19" t="s">
        <v>676</v>
      </c>
      <c r="E42" s="70" t="s">
        <v>630</v>
      </c>
    </row>
    <row r="43" customFormat="false" ht="18" hidden="false" customHeight="true" outlineLevel="0" collapsed="false">
      <c r="B43" s="24" t="s">
        <v>705</v>
      </c>
      <c r="C43" s="21" t="s">
        <v>706</v>
      </c>
      <c r="D43" s="21" t="s">
        <v>693</v>
      </c>
      <c r="E43" s="24" t="s">
        <v>630</v>
      </c>
    </row>
    <row r="44" customFormat="false" ht="18" hidden="false" customHeight="true" outlineLevel="0" collapsed="false">
      <c r="B44" s="70" t="s">
        <v>707</v>
      </c>
      <c r="C44" s="19" t="s">
        <v>708</v>
      </c>
      <c r="D44" s="19" t="s">
        <v>709</v>
      </c>
      <c r="E44" s="70" t="s">
        <v>630</v>
      </c>
    </row>
  </sheetData>
  <mergeCells count="6">
    <mergeCell ref="A1:F1"/>
    <mergeCell ref="B2:E2"/>
    <mergeCell ref="B4:E4"/>
    <mergeCell ref="B14:E14"/>
    <mergeCell ref="B26:E26"/>
    <mergeCell ref="B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22" t="s">
        <v>710</v>
      </c>
      <c r="B1" s="22"/>
      <c r="C1" s="22"/>
      <c r="D1" s="22"/>
      <c r="E1" s="22"/>
      <c r="F1" s="22"/>
      <c r="G1" s="22"/>
      <c r="H1" s="22"/>
    </row>
    <row r="2" customFormat="false" ht="25.5" hidden="false" customHeight="true" outlineLevel="0" collapsed="false">
      <c r="A2" s="23" t="s">
        <v>40</v>
      </c>
      <c r="B2" s="23" t="s">
        <v>41</v>
      </c>
      <c r="C2" s="23" t="s">
        <v>42</v>
      </c>
      <c r="D2" s="23" t="s">
        <v>45</v>
      </c>
      <c r="E2" s="23" t="s">
        <v>711</v>
      </c>
      <c r="F2" s="23" t="s">
        <v>712</v>
      </c>
      <c r="G2" s="23" t="s">
        <v>713</v>
      </c>
      <c r="H2" s="23" t="s">
        <v>714</v>
      </c>
    </row>
    <row r="3" customFormat="false" ht="18" hidden="false" customHeight="true" outlineLevel="0" collapsed="false">
      <c r="A3" s="24" t="s">
        <v>60</v>
      </c>
      <c r="B3" s="21" t="s">
        <v>61</v>
      </c>
      <c r="C3" s="24" t="s">
        <v>62</v>
      </c>
      <c r="D3" s="26" t="n">
        <v>12.5</v>
      </c>
      <c r="E3" s="24" t="s">
        <v>715</v>
      </c>
      <c r="F3" s="24" t="s">
        <v>716</v>
      </c>
      <c r="G3" s="24" t="s">
        <v>717</v>
      </c>
      <c r="H3" s="24" t="s">
        <v>718</v>
      </c>
    </row>
    <row r="4" customFormat="false" ht="18" hidden="false" customHeight="true" outlineLevel="0" collapsed="false">
      <c r="A4" s="28" t="s">
        <v>112</v>
      </c>
      <c r="B4" s="29" t="s">
        <v>113</v>
      </c>
      <c r="C4" s="28" t="s">
        <v>83</v>
      </c>
      <c r="D4" s="31" t="n">
        <v>245</v>
      </c>
      <c r="E4" s="28" t="s">
        <v>715</v>
      </c>
      <c r="F4" s="28" t="s">
        <v>716</v>
      </c>
      <c r="G4" s="28" t="s">
        <v>717</v>
      </c>
      <c r="H4" s="28" t="s">
        <v>718</v>
      </c>
    </row>
    <row r="5" customFormat="false" ht="18" hidden="false" customHeight="true" outlineLevel="0" collapsed="false">
      <c r="A5" s="24" t="s">
        <v>98</v>
      </c>
      <c r="B5" s="21" t="s">
        <v>99</v>
      </c>
      <c r="C5" s="24" t="s">
        <v>83</v>
      </c>
      <c r="D5" s="26" t="n">
        <v>189</v>
      </c>
      <c r="E5" s="24" t="s">
        <v>715</v>
      </c>
      <c r="F5" s="24" t="s">
        <v>716</v>
      </c>
      <c r="G5" s="24" t="s">
        <v>717</v>
      </c>
      <c r="H5" s="24" t="s">
        <v>718</v>
      </c>
    </row>
    <row r="6" customFormat="false" ht="18" hidden="false" customHeight="true" outlineLevel="0" collapsed="false">
      <c r="A6" s="28" t="s">
        <v>145</v>
      </c>
      <c r="B6" s="29" t="s">
        <v>146</v>
      </c>
      <c r="C6" s="28" t="s">
        <v>83</v>
      </c>
      <c r="D6" s="31" t="n">
        <v>320</v>
      </c>
      <c r="E6" s="28" t="s">
        <v>715</v>
      </c>
      <c r="F6" s="28" t="s">
        <v>716</v>
      </c>
      <c r="G6" s="28" t="s">
        <v>717</v>
      </c>
      <c r="H6" s="28" t="s">
        <v>718</v>
      </c>
    </row>
    <row r="7" customFormat="false" ht="18" hidden="false" customHeight="true" outlineLevel="0" collapsed="false">
      <c r="A7" s="24" t="s">
        <v>90</v>
      </c>
      <c r="B7" s="21" t="s">
        <v>91</v>
      </c>
      <c r="C7" s="24" t="s">
        <v>70</v>
      </c>
      <c r="D7" s="26" t="n">
        <v>8.75</v>
      </c>
      <c r="E7" s="24" t="s">
        <v>715</v>
      </c>
      <c r="F7" s="24" t="s">
        <v>716</v>
      </c>
      <c r="G7" s="24" t="s">
        <v>717</v>
      </c>
      <c r="H7" s="24" t="s">
        <v>718</v>
      </c>
    </row>
    <row r="8" customFormat="false" ht="18" hidden="false" customHeight="true" outlineLevel="0" collapsed="false">
      <c r="A8" s="28" t="s">
        <v>161</v>
      </c>
      <c r="B8" s="29" t="s">
        <v>162</v>
      </c>
      <c r="C8" s="28" t="s">
        <v>83</v>
      </c>
      <c r="D8" s="31" t="n">
        <v>45</v>
      </c>
      <c r="E8" s="28" t="s">
        <v>715</v>
      </c>
      <c r="F8" s="28" t="s">
        <v>716</v>
      </c>
      <c r="G8" s="28" t="s">
        <v>717</v>
      </c>
      <c r="H8" s="28" t="s">
        <v>718</v>
      </c>
    </row>
    <row r="9" customFormat="false" ht="18" hidden="false" customHeight="true" outlineLevel="0" collapsed="false">
      <c r="A9" s="24" t="s">
        <v>213</v>
      </c>
      <c r="B9" s="21" t="s">
        <v>214</v>
      </c>
      <c r="C9" s="24" t="s">
        <v>83</v>
      </c>
      <c r="D9" s="26" t="n">
        <v>560</v>
      </c>
      <c r="E9" s="24" t="s">
        <v>715</v>
      </c>
      <c r="F9" s="24" t="s">
        <v>716</v>
      </c>
      <c r="G9" s="24" t="s">
        <v>717</v>
      </c>
      <c r="H9" s="24" t="s">
        <v>718</v>
      </c>
    </row>
    <row r="10" customFormat="false" ht="18" hidden="false" customHeight="true" outlineLevel="0" collapsed="false">
      <c r="A10" s="28" t="s">
        <v>138</v>
      </c>
      <c r="B10" s="29" t="s">
        <v>139</v>
      </c>
      <c r="C10" s="28" t="s">
        <v>83</v>
      </c>
      <c r="D10" s="31" t="n">
        <v>185</v>
      </c>
      <c r="E10" s="28" t="s">
        <v>715</v>
      </c>
      <c r="F10" s="28" t="s">
        <v>716</v>
      </c>
      <c r="G10" s="28" t="s">
        <v>717</v>
      </c>
      <c r="H10" s="28" t="s">
        <v>718</v>
      </c>
    </row>
    <row r="11" customFormat="false" ht="18" hidden="false" customHeight="true" outlineLevel="0" collapsed="false">
      <c r="A11" s="24" t="s">
        <v>81</v>
      </c>
      <c r="B11" s="21" t="s">
        <v>82</v>
      </c>
      <c r="C11" s="24" t="s">
        <v>83</v>
      </c>
      <c r="D11" s="26" t="n">
        <v>38</v>
      </c>
      <c r="E11" s="24" t="s">
        <v>715</v>
      </c>
      <c r="F11" s="24" t="s">
        <v>716</v>
      </c>
      <c r="G11" s="24" t="s">
        <v>717</v>
      </c>
      <c r="H11" s="24" t="s">
        <v>718</v>
      </c>
    </row>
    <row r="12" customFormat="false" ht="18" hidden="false" customHeight="true" outlineLevel="0" collapsed="false">
      <c r="A12" s="28" t="s">
        <v>121</v>
      </c>
      <c r="B12" s="29" t="s">
        <v>122</v>
      </c>
      <c r="C12" s="28" t="s">
        <v>123</v>
      </c>
      <c r="D12" s="31" t="n">
        <v>62</v>
      </c>
      <c r="E12" s="28" t="s">
        <v>715</v>
      </c>
      <c r="F12" s="28" t="s">
        <v>716</v>
      </c>
      <c r="G12" s="28" t="s">
        <v>717</v>
      </c>
      <c r="H12" s="28" t="s">
        <v>718</v>
      </c>
    </row>
    <row r="13" customFormat="false" ht="18" hidden="false" customHeight="true" outlineLevel="0" collapsed="false">
      <c r="A13" s="24" t="s">
        <v>68</v>
      </c>
      <c r="B13" s="21" t="s">
        <v>69</v>
      </c>
      <c r="C13" s="24" t="s">
        <v>70</v>
      </c>
      <c r="D13" s="26" t="n">
        <v>3.2</v>
      </c>
      <c r="E13" s="24" t="s">
        <v>715</v>
      </c>
      <c r="F13" s="24" t="s">
        <v>716</v>
      </c>
      <c r="G13" s="24" t="s">
        <v>717</v>
      </c>
      <c r="H13" s="24" t="s">
        <v>718</v>
      </c>
    </row>
    <row r="14" customFormat="false" ht="18" hidden="false" customHeight="true" outlineLevel="0" collapsed="false">
      <c r="A14" s="28" t="s">
        <v>278</v>
      </c>
      <c r="B14" s="29" t="s">
        <v>279</v>
      </c>
      <c r="C14" s="28" t="s">
        <v>83</v>
      </c>
      <c r="D14" s="31" t="n">
        <v>95</v>
      </c>
      <c r="E14" s="28" t="s">
        <v>715</v>
      </c>
      <c r="F14" s="28" t="s">
        <v>716</v>
      </c>
      <c r="G14" s="28" t="s">
        <v>717</v>
      </c>
      <c r="H14" s="28" t="s">
        <v>718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2026-05-20T21:48:46Z</dcterms:created>
  <dc:creator>openpyxl</dc:creator>
  <dc:description/>
  <dc:language>en-US</dc:language>
  <cp:lastModifiedBy/>
  <dcterms:modified xsi:type="dcterms:W3CDTF">2026-05-20T21:48:53Z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